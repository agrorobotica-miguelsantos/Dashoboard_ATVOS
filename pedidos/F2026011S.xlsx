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OS_2026\ATVOS\OS_011\"/>
    </mc:Choice>
  </mc:AlternateContent>
  <xr:revisionPtr revIDLastSave="0" documentId="13_ncr:1_{C23EA57C-F9D3-4A8E-B239-D2DE70D1C13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Sheet1!$A$1:$BK$43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2" i="1"/>
</calcChain>
</file>

<file path=xl/sharedStrings.xml><?xml version="1.0" encoding="utf-8"?>
<sst xmlns="http://schemas.openxmlformats.org/spreadsheetml/2006/main" count="580" uniqueCount="134">
  <si>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</si>
  <si>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</si>
  <si>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</si>
  <si>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</si>
  <si>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</si>
  <si>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</si>
  <si>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</si>
  <si>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</si>
  <si>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</si>
  <si>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</si>
  <si>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</si>
  <si>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</si>
  <si>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</si>
  <si>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</si>
  <si>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</si>
  <si>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</si>
  <si>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</si>
  <si>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</si>
  <si>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</si>
  <si>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</si>
  <si>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</si>
  <si>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</si>
  <si>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</si>
  <si>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</si>
  <si>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</si>
  <si>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</si>
  <si>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</si>
  <si>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</si>
  <si>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</si>
  <si>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</si>
  <si>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</si>
  <si>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</si>
  <si>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</si>
  <si>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</si>
  <si>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</si>
  <si>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</si>
  <si>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</si>
  <si>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</si>
  <si>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</si>
  <si>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</si>
  <si>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</si>
  <si>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</si>
  <si>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</si>
  <si>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</si>
  <si>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</si>
  <si>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</si>
  <si>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</si>
  <si>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</si>
  <si>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</si>
  <si>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</si>
  <si>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</si>
  <si>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</si>
  <si>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</si>
  <si>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</si>
  <si>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</si>
  <si>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</si>
  <si>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</si>
  <si>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</si>
  <si>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</si>
  <si>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</si>
  <si>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</si>
  <si>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5/20/202616:11:00</t>
  </si>
  <si>
    <t>MINEIROS</t>
  </si>
  <si>
    <t>GO</t>
  </si>
  <si>
    <t>UAE_FERTILIDADE</t>
  </si>
  <si>
    <t>UAE</t>
  </si>
  <si>
    <t>00-25</t>
  </si>
  <si>
    <t>Fertilidade</t>
  </si>
  <si>
    <t>ASP26009600000264A11S260220</t>
  </si>
  <si>
    <t>X</t>
  </si>
  <si>
    <t>25-50</t>
  </si>
  <si>
    <t>ASP26009600000264A11S260219</t>
  </si>
  <si>
    <t>5/20/202615:32:00</t>
  </si>
  <si>
    <t>ASP26009600000264A11S260222</t>
  </si>
  <si>
    <t>ASP26009600000264A11S260221</t>
  </si>
  <si>
    <t>5/20/202615:06:00</t>
  </si>
  <si>
    <t>ASP26009600000264A11S260213</t>
  </si>
  <si>
    <t>ASP26009600000264A11S260212</t>
  </si>
  <si>
    <t>5/20/202614:48:00</t>
  </si>
  <si>
    <t>ASP26009600000264A11S260215</t>
  </si>
  <si>
    <t>ASP26009600000264A11S260214</t>
  </si>
  <si>
    <t>5/20/202614:31:00</t>
  </si>
  <si>
    <t>ASP26009600000264A11S260216</t>
  </si>
  <si>
    <t>ASP26009600000264A11S260208</t>
  </si>
  <si>
    <t>5/20/202614:13:00</t>
  </si>
  <si>
    <t>ASP26009600000264A11S260207</t>
  </si>
  <si>
    <t>ASP26009600000264A11S260209</t>
  </si>
  <si>
    <t>5/20/202613:56:00</t>
  </si>
  <si>
    <t>ASP26009600000264A11S260210</t>
  </si>
  <si>
    <t>ASP26009600000264A11S260211</t>
  </si>
  <si>
    <t>5/21/202613:14:00</t>
  </si>
  <si>
    <t>ASP26009600000264A11S260204</t>
  </si>
  <si>
    <t>ASP26009600000264A11S260203</t>
  </si>
  <si>
    <t>5/20/202613:41:00</t>
  </si>
  <si>
    <t>ASP26009600000264A11S260202</t>
  </si>
  <si>
    <t>ASP26009600000264A11S260201</t>
  </si>
  <si>
    <t>5/20/202612:57:00</t>
  </si>
  <si>
    <t>ASP26009600000264A11S260205</t>
  </si>
  <si>
    <t>ASP26009600000264A11S260206</t>
  </si>
  <si>
    <t>5/25/202616:12:00</t>
  </si>
  <si>
    <t>ASP26009600000264A11S260233</t>
  </si>
  <si>
    <t>ASP26009600000264A11S260231</t>
  </si>
  <si>
    <t>5/25/202615:46:00</t>
  </si>
  <si>
    <t>ASP26009600000264A11S260230</t>
  </si>
  <si>
    <t>ASP26009600000264A11S260229</t>
  </si>
  <si>
    <t>5/25/202616:24:00</t>
  </si>
  <si>
    <t>ASP26009600000264A11S260234</t>
  </si>
  <si>
    <t>ASP26009600000264A11S260232</t>
  </si>
  <si>
    <t>5/25/202615:25:00</t>
  </si>
  <si>
    <t>ASP26009600000264A11S260226</t>
  </si>
  <si>
    <t>ASP26009600000264A11S260227</t>
  </si>
  <si>
    <t>5/25/202614:55:00</t>
  </si>
  <si>
    <t>ASP26009600000264A11S260223</t>
  </si>
  <si>
    <t>ASP26009600000264A11S260224</t>
  </si>
  <si>
    <t>5/25/202615:10:00</t>
  </si>
  <si>
    <t>ASP26009600000264A11S260228</t>
  </si>
  <si>
    <t>ASP26009600000264A11S260225</t>
  </si>
  <si>
    <t>5/25/202614:28:00</t>
  </si>
  <si>
    <t>ASP26009600000264A11S260217</t>
  </si>
  <si>
    <t>ASP26009600000264A11S260218</t>
  </si>
  <si>
    <t>5/25/202614:00:00</t>
  </si>
  <si>
    <t>ASP26009600000264A11S260239</t>
  </si>
  <si>
    <t>ASP26009600000264A11S260240</t>
  </si>
  <si>
    <t>5/25/202613:46:00</t>
  </si>
  <si>
    <t>ASP26009600000264A11S260241</t>
  </si>
  <si>
    <t>ASP26009600000264A11S260242</t>
  </si>
  <si>
    <t>5/25/202613:30:00</t>
  </si>
  <si>
    <t>ASP26009600000264A11S260244</t>
  </si>
  <si>
    <t>ASP26009600000264A11S260243</t>
  </si>
  <si>
    <t>5/25/202612:50:00</t>
  </si>
  <si>
    <t>ASP26009600000264A11S260245</t>
  </si>
  <si>
    <t>ASP26009600000264A11S260246</t>
  </si>
  <si>
    <t>MO_LIBS</t>
  </si>
  <si>
    <t>MO_Ajustado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</si>
</sst>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3"/>
  <sheetViews>
    <sheetView tabSelected="1" topLeftCell="AN1" zoomScaleNormal="100" workbookViewId="0">
      <selection activeCell="AQ2" sqref="AQ2"/>
    </sheetView>
  </sheetViews>
  <sheetFormatPr defaultColWidth="8.7109375" defaultRowHeight="15" x14ac:dyDescent="0.25"/>
  <cols>
    <col min="1" max="1" width="11.28515625" bestFit="1" customWidth="1"/>
    <col min="2" max="3" width="12.7109375" customWidth="1"/>
    <col min="4" max="4" width="17" customWidth="1"/>
    <col min="5" max="5" width="17.85546875" bestFit="1" customWidth="1"/>
    <col min="6" max="6" width="14.5703125" bestFit="1" customWidth="1"/>
    <col min="7" max="7" width="8" bestFit="1" customWidth="1"/>
    <col min="8" max="8" width="20.7109375" bestFit="1" customWidth="1"/>
    <col min="9" max="9" width="22.7109375" bestFit="1" customWidth="1"/>
    <col min="10" max="10" width="16.140625" bestFit="1" customWidth="1"/>
    <col min="11" max="11" width="18.28515625" bestFit="1" customWidth="1"/>
    <col min="12" max="12" width="12" bestFit="1" customWidth="1"/>
    <col min="13" max="13" width="13.140625" bestFit="1" customWidth="1"/>
    <col min="14" max="14" width="11" bestFit="1" customWidth="1"/>
    <col min="15" max="15" width="12.85546875" bestFit="1" customWidth="1"/>
    <col min="16" max="16" width="10.28515625" bestFit="1" customWidth="1"/>
    <col min="17" max="17" width="11.42578125" bestFit="1" customWidth="1"/>
    <col min="18" max="18" width="12.5703125" bestFit="1" customWidth="1"/>
    <col min="19" max="19" width="21.140625" bestFit="1" customWidth="1"/>
    <col min="20" max="20" width="10.85546875" bestFit="1" customWidth="1"/>
    <col min="21" max="21" width="21.85546875" bestFit="1" customWidth="1"/>
    <col min="22" max="22" width="17.85546875" bestFit="1" customWidth="1"/>
    <col min="23" max="23" width="16.85546875" bestFit="1" customWidth="1"/>
    <col min="24" max="24" width="29.28515625" customWidth="1"/>
    <col min="25" max="25" width="8.42578125" bestFit="1" customWidth="1"/>
    <col min="26" max="26" width="15.7109375" bestFit="1" customWidth="1"/>
    <col min="27" max="27" width="9.42578125" bestFit="1" customWidth="1"/>
    <col min="28" max="28" width="17.140625" bestFit="1" customWidth="1"/>
    <col min="29" max="29" width="11.140625" bestFit="1" customWidth="1"/>
    <col min="30" max="30" width="10.7109375" bestFit="1" customWidth="1"/>
    <col min="31" max="31" width="8.85546875" bestFit="1" customWidth="1"/>
    <col min="32" max="32" width="13.85546875" bestFit="1" customWidth="1"/>
    <col min="33" max="33" width="12.7109375" bestFit="1" customWidth="1"/>
    <col min="34" max="34" width="13.5703125" bestFit="1" customWidth="1"/>
    <col min="35" max="35" width="10.42578125" bestFit="1" customWidth="1"/>
    <col min="36" max="36" width="19.85546875" bestFit="1" customWidth="1"/>
    <col min="37" max="37" width="12.28515625" bestFit="1" customWidth="1"/>
    <col min="38" max="38" width="10.7109375" bestFit="1" customWidth="1"/>
    <col min="39" max="39" width="16.42578125" bestFit="1" customWidth="1"/>
    <col min="40" max="40" width="23.28515625" bestFit="1" customWidth="1"/>
    <col min="41" max="41" width="16.5703125" bestFit="1" customWidth="1"/>
    <col min="42" max="42" width="18" bestFit="1" customWidth="1"/>
    <col min="43" max="43" width="16.5703125" bestFit="1" customWidth="1"/>
    <col min="44" max="44" width="20.7109375" bestFit="1" customWidth="1"/>
    <col min="45" max="45" width="21" bestFit="1" customWidth="1"/>
    <col min="46" max="46" width="20" bestFit="1" customWidth="1"/>
    <col min="47" max="47" width="21.85546875" bestFit="1" customWidth="1"/>
    <col min="48" max="48" width="21.28515625" bestFit="1" customWidth="1"/>
    <col min="49" max="49" width="16.5703125" bestFit="1" customWidth="1"/>
    <col min="50" max="50" width="17.85546875" bestFit="1" customWidth="1"/>
    <col min="51" max="51" width="17.7109375" bestFit="1" customWidth="1"/>
    <col min="52" max="52" width="18.5703125" bestFit="1" customWidth="1"/>
    <col min="53" max="53" width="17.7109375" bestFit="1" customWidth="1"/>
    <col min="54" max="54" width="13.42578125" bestFit="1" customWidth="1"/>
    <col min="55" max="55" width="17" bestFit="1" customWidth="1"/>
    <col min="56" max="56" width="17.85546875" bestFit="1" customWidth="1"/>
    <col min="57" max="57" width="12.140625" bestFit="1" customWidth="1"/>
    <col min="58" max="58" width="13.28515625" bestFit="1" customWidth="1"/>
    <col min="59" max="59" width="12.42578125" bestFit="1" customWidth="1"/>
    <col min="60" max="60" width="23.140625" bestFit="1" customWidth="1"/>
    <col min="61" max="61" width="16.5703125" bestFit="1" customWidth="1"/>
    <col min="62" max="62" width="17" bestFit="1" customWidth="1"/>
    <col min="63" max="63" width="15.85546875" bestFit="1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132</v>
      </c>
      <c r="BC1" s="1" t="s">
        <v>53</v>
      </c>
      <c r="BD1" s="1" t="s">
        <v>133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</row>
    <row r="2" spans="1:63" x14ac:dyDescent="0.25">
      <c r="A2">
        <v>1</v>
      </c>
      <c r="B2">
        <v>-52.710484749999999</v>
      </c>
      <c r="C2">
        <v>-17.742764990000001</v>
      </c>
      <c r="D2" t="s">
        <v>61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440364</v>
      </c>
      <c r="P2">
        <v>1</v>
      </c>
      <c r="Q2">
        <v>4</v>
      </c>
      <c r="T2">
        <v>166</v>
      </c>
      <c r="V2" t="s">
        <v>66</v>
      </c>
      <c r="W2" t="s">
        <v>67</v>
      </c>
      <c r="X2" t="s">
        <v>68</v>
      </c>
      <c r="Y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1.29</v>
      </c>
      <c r="AN2" s="2">
        <v>12.099681538509101</v>
      </c>
      <c r="AR2">
        <v>0.21000000000000002</v>
      </c>
      <c r="AS2">
        <v>19</v>
      </c>
      <c r="AT2">
        <v>0.44999999999999996</v>
      </c>
      <c r="AU2">
        <v>2.7700000000000005</v>
      </c>
      <c r="BB2">
        <v>32.637924790557008</v>
      </c>
      <c r="BC2" s="2">
        <v>14.0789797112085</v>
      </c>
      <c r="BD2" s="2">
        <f>BB2*0.4</f>
        <v>13.055169916222804</v>
      </c>
      <c r="BF2">
        <v>5.73</v>
      </c>
      <c r="BG2">
        <v>7.08</v>
      </c>
      <c r="BH2" s="2">
        <v>13.527570990868156</v>
      </c>
    </row>
    <row r="3" spans="1:63" x14ac:dyDescent="0.25">
      <c r="A3">
        <v>1</v>
      </c>
      <c r="B3">
        <v>-52.710484749999999</v>
      </c>
      <c r="C3">
        <v>-17.742764990000001</v>
      </c>
      <c r="D3" t="s">
        <v>61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440364</v>
      </c>
      <c r="P3">
        <v>1</v>
      </c>
      <c r="Q3">
        <v>4</v>
      </c>
      <c r="T3">
        <v>166</v>
      </c>
      <c r="V3" t="s">
        <v>70</v>
      </c>
      <c r="W3" t="s">
        <v>67</v>
      </c>
      <c r="X3" t="s">
        <v>71</v>
      </c>
      <c r="Y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0.79</v>
      </c>
      <c r="AN3" s="2">
        <v>9.7708932381040707</v>
      </c>
      <c r="AR3">
        <v>0.4</v>
      </c>
      <c r="AS3">
        <v>8.33</v>
      </c>
      <c r="AT3">
        <v>0.45999999999999996</v>
      </c>
      <c r="AU3">
        <v>3.11</v>
      </c>
      <c r="BB3">
        <v>27.994784568000942</v>
      </c>
      <c r="BC3" s="2">
        <v>10.095719764550999</v>
      </c>
      <c r="BD3" s="2">
        <f t="shared" ref="BD3:BD43" si="0">BB3*0.4</f>
        <v>11.197913827200377</v>
      </c>
      <c r="BF3">
        <v>5.04</v>
      </c>
      <c r="BG3">
        <v>6.79</v>
      </c>
      <c r="BH3" s="2">
        <v>18.362359654363456</v>
      </c>
    </row>
    <row r="4" spans="1:63" x14ac:dyDescent="0.25">
      <c r="A4">
        <v>2</v>
      </c>
      <c r="B4">
        <v>-52.714759069999999</v>
      </c>
      <c r="C4">
        <v>-17.743416329999999</v>
      </c>
      <c r="D4" t="s">
        <v>72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440364</v>
      </c>
      <c r="P4">
        <v>1</v>
      </c>
      <c r="Q4">
        <v>6</v>
      </c>
      <c r="T4">
        <v>167</v>
      </c>
      <c r="V4" t="s">
        <v>66</v>
      </c>
      <c r="W4" t="s">
        <v>67</v>
      </c>
      <c r="X4" t="s">
        <v>73</v>
      </c>
      <c r="Y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0.57000000000000028</v>
      </c>
      <c r="AN4" s="2">
        <v>1.4537921652289501</v>
      </c>
      <c r="AR4">
        <v>2.08</v>
      </c>
      <c r="AS4">
        <v>3.8</v>
      </c>
      <c r="AT4">
        <v>0.22999999999999998</v>
      </c>
      <c r="AU4">
        <v>0.91999999999999993</v>
      </c>
      <c r="BB4">
        <v>28.17126971555729</v>
      </c>
      <c r="BC4" s="2">
        <v>11.7252351972745</v>
      </c>
      <c r="BD4" s="2">
        <f t="shared" si="0"/>
        <v>11.268507886222917</v>
      </c>
      <c r="BF4">
        <v>4.3899999999999997</v>
      </c>
      <c r="BG4">
        <v>6.55</v>
      </c>
      <c r="BH4" s="2">
        <v>23.645927429892687</v>
      </c>
    </row>
    <row r="5" spans="1:63" x14ac:dyDescent="0.25">
      <c r="A5">
        <v>2</v>
      </c>
      <c r="B5">
        <v>-52.714759069999999</v>
      </c>
      <c r="C5">
        <v>-17.743416329999999</v>
      </c>
      <c r="D5" t="s">
        <v>72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440364</v>
      </c>
      <c r="P5">
        <v>1</v>
      </c>
      <c r="Q5">
        <v>6</v>
      </c>
      <c r="T5">
        <v>167</v>
      </c>
      <c r="V5" t="s">
        <v>70</v>
      </c>
      <c r="W5" t="s">
        <v>67</v>
      </c>
      <c r="X5" t="s">
        <v>74</v>
      </c>
      <c r="Y5">
        <v>4</v>
      </c>
      <c r="AC5" t="s">
        <v>69</v>
      </c>
      <c r="AF5" t="s">
        <v>69</v>
      </c>
      <c r="AH5" t="s">
        <v>69</v>
      </c>
      <c r="AI5" t="s">
        <v>69</v>
      </c>
      <c r="AM5">
        <v>0.66000000000000014</v>
      </c>
      <c r="AN5" s="2">
        <v>1.78647620814396</v>
      </c>
      <c r="AR5">
        <v>2.66</v>
      </c>
      <c r="AS5">
        <v>3.3200000000000003</v>
      </c>
      <c r="AT5">
        <v>0.31</v>
      </c>
      <c r="AU5">
        <v>0.65999999999999992</v>
      </c>
      <c r="BB5">
        <v>23.886341033697821</v>
      </c>
      <c r="BD5" s="2">
        <f t="shared" si="0"/>
        <v>9.5545364134791289</v>
      </c>
      <c r="BF5">
        <v>4.37</v>
      </c>
      <c r="BG5">
        <v>6.47</v>
      </c>
      <c r="BH5" s="2">
        <v>25.725607546615539</v>
      </c>
    </row>
    <row r="6" spans="1:63" x14ac:dyDescent="0.25">
      <c r="A6">
        <v>3</v>
      </c>
      <c r="B6">
        <v>-52.714073880000001</v>
      </c>
      <c r="C6">
        <v>-17.747628939999998</v>
      </c>
      <c r="D6" t="s">
        <v>75</v>
      </c>
      <c r="F6" t="s">
        <v>62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440364</v>
      </c>
      <c r="P6">
        <v>1</v>
      </c>
      <c r="Q6">
        <v>5</v>
      </c>
      <c r="T6">
        <v>168</v>
      </c>
      <c r="V6" t="s">
        <v>66</v>
      </c>
      <c r="W6" t="s">
        <v>67</v>
      </c>
      <c r="X6" t="s">
        <v>76</v>
      </c>
      <c r="Y6">
        <v>5</v>
      </c>
      <c r="AC6" t="s">
        <v>69</v>
      </c>
      <c r="AF6" t="s">
        <v>69</v>
      </c>
      <c r="AH6" t="s">
        <v>69</v>
      </c>
      <c r="AI6" t="s">
        <v>69</v>
      </c>
      <c r="AM6">
        <v>1.79</v>
      </c>
      <c r="AN6" s="2">
        <v>0.45574003648394001</v>
      </c>
      <c r="AR6">
        <v>1.42</v>
      </c>
      <c r="AS6">
        <v>3.8200000000000003</v>
      </c>
      <c r="AT6">
        <v>0.38</v>
      </c>
      <c r="AU6">
        <v>1.79</v>
      </c>
      <c r="BB6">
        <v>25.420744457974049</v>
      </c>
      <c r="BD6" s="2">
        <f t="shared" si="0"/>
        <v>10.168297783189621</v>
      </c>
      <c r="BF6">
        <v>4.55</v>
      </c>
      <c r="BG6">
        <v>6.63</v>
      </c>
      <c r="BH6" s="2">
        <v>21.734370432519114</v>
      </c>
    </row>
    <row r="7" spans="1:63" x14ac:dyDescent="0.25">
      <c r="A7">
        <v>3</v>
      </c>
      <c r="B7">
        <v>-52.714073880000001</v>
      </c>
      <c r="C7">
        <v>-17.747628939999998</v>
      </c>
      <c r="D7" t="s">
        <v>75</v>
      </c>
      <c r="F7" t="s">
        <v>62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440364</v>
      </c>
      <c r="P7">
        <v>1</v>
      </c>
      <c r="Q7">
        <v>5</v>
      </c>
      <c r="T7">
        <v>168</v>
      </c>
      <c r="V7" t="s">
        <v>70</v>
      </c>
      <c r="W7" t="s">
        <v>67</v>
      </c>
      <c r="X7" t="s">
        <v>77</v>
      </c>
      <c r="Y7">
        <v>6</v>
      </c>
      <c r="AC7" t="s">
        <v>69</v>
      </c>
      <c r="AF7" t="s">
        <v>69</v>
      </c>
      <c r="AH7" t="s">
        <v>69</v>
      </c>
      <c r="AI7" t="s">
        <v>69</v>
      </c>
      <c r="AM7">
        <v>1.27</v>
      </c>
      <c r="AN7" s="2">
        <v>0.95476610085644698</v>
      </c>
      <c r="AR7">
        <v>2.27</v>
      </c>
      <c r="AS7">
        <v>2.8499999999999996</v>
      </c>
      <c r="AT7">
        <v>0.5</v>
      </c>
      <c r="AU7">
        <v>0.79999999999999982</v>
      </c>
      <c r="BB7">
        <v>27.456709394879059</v>
      </c>
      <c r="BD7" s="2">
        <f t="shared" si="0"/>
        <v>10.982683757951625</v>
      </c>
      <c r="BF7">
        <v>4.4000000000000004</v>
      </c>
      <c r="BG7">
        <v>6.57</v>
      </c>
      <c r="BH7" s="2">
        <v>23.152827201577164</v>
      </c>
    </row>
    <row r="8" spans="1:63" x14ac:dyDescent="0.25">
      <c r="A8">
        <v>4</v>
      </c>
      <c r="B8">
        <v>-52.71085205</v>
      </c>
      <c r="C8">
        <v>-17.74953781</v>
      </c>
      <c r="D8" t="s">
        <v>78</v>
      </c>
      <c r="F8" t="s">
        <v>62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440364</v>
      </c>
      <c r="P8">
        <v>1</v>
      </c>
      <c r="Q8">
        <v>7</v>
      </c>
      <c r="T8">
        <v>169</v>
      </c>
      <c r="V8" t="s">
        <v>66</v>
      </c>
      <c r="W8" t="s">
        <v>67</v>
      </c>
      <c r="X8" t="s">
        <v>79</v>
      </c>
      <c r="Y8">
        <v>7</v>
      </c>
      <c r="AC8" t="s">
        <v>69</v>
      </c>
      <c r="AF8" t="s">
        <v>69</v>
      </c>
      <c r="AH8" t="s">
        <v>69</v>
      </c>
      <c r="AI8" t="s">
        <v>69</v>
      </c>
      <c r="AM8">
        <v>0.63000000000000034</v>
      </c>
      <c r="AN8" s="2">
        <v>1.62013418668646</v>
      </c>
      <c r="AR8">
        <v>1.3800000000000001</v>
      </c>
      <c r="AS8">
        <v>3.16</v>
      </c>
      <c r="AT8">
        <v>0.31</v>
      </c>
      <c r="AU8">
        <v>0.94999999999999984</v>
      </c>
      <c r="BB8">
        <v>25.088334085330668</v>
      </c>
      <c r="BD8" s="2">
        <f t="shared" si="0"/>
        <v>10.035333634132268</v>
      </c>
      <c r="BF8">
        <v>4.46</v>
      </c>
      <c r="BG8">
        <v>6.76</v>
      </c>
      <c r="BH8" s="2">
        <v>18.952083987057659</v>
      </c>
    </row>
    <row r="9" spans="1:63" x14ac:dyDescent="0.25">
      <c r="A9">
        <v>4</v>
      </c>
      <c r="B9">
        <v>-52.71085205</v>
      </c>
      <c r="C9">
        <v>-17.74953781</v>
      </c>
      <c r="D9" t="s">
        <v>78</v>
      </c>
      <c r="F9" t="s">
        <v>62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440364</v>
      </c>
      <c r="P9">
        <v>1</v>
      </c>
      <c r="Q9">
        <v>7</v>
      </c>
      <c r="T9">
        <v>169</v>
      </c>
      <c r="V9" t="s">
        <v>70</v>
      </c>
      <c r="W9" t="s">
        <v>67</v>
      </c>
      <c r="X9" t="s">
        <v>80</v>
      </c>
      <c r="Y9">
        <v>8</v>
      </c>
      <c r="AC9" t="s">
        <v>69</v>
      </c>
      <c r="AF9" t="s">
        <v>69</v>
      </c>
      <c r="AH9" t="s">
        <v>69</v>
      </c>
      <c r="AI9" t="s">
        <v>69</v>
      </c>
      <c r="AM9">
        <v>0.5</v>
      </c>
      <c r="AN9" s="2">
        <v>0.95476610085644698</v>
      </c>
      <c r="AR9">
        <v>1.61</v>
      </c>
      <c r="AS9">
        <v>2.4500000000000002</v>
      </c>
      <c r="AT9">
        <v>0.31</v>
      </c>
      <c r="AU9">
        <v>0.73</v>
      </c>
      <c r="BB9">
        <v>25.570798399493238</v>
      </c>
      <c r="BD9" s="2">
        <f t="shared" si="0"/>
        <v>10.228319359797297</v>
      </c>
      <c r="BF9">
        <v>4.41</v>
      </c>
      <c r="BG9">
        <v>6.79</v>
      </c>
      <c r="BH9" s="2">
        <v>18.362359654363456</v>
      </c>
    </row>
    <row r="10" spans="1:63" x14ac:dyDescent="0.25">
      <c r="A10">
        <v>5</v>
      </c>
      <c r="B10">
        <v>-52.711677190000003</v>
      </c>
      <c r="C10">
        <v>-17.753663119999999</v>
      </c>
      <c r="D10" t="s">
        <v>81</v>
      </c>
      <c r="F10" t="s">
        <v>62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440364</v>
      </c>
      <c r="P10">
        <v>1</v>
      </c>
      <c r="Q10">
        <v>8</v>
      </c>
      <c r="T10">
        <v>170</v>
      </c>
      <c r="V10" t="s">
        <v>66</v>
      </c>
      <c r="W10" t="s">
        <v>67</v>
      </c>
      <c r="X10" t="s">
        <v>82</v>
      </c>
      <c r="Y10">
        <v>9</v>
      </c>
      <c r="AC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0.45000000000000018</v>
      </c>
      <c r="AN10" s="2">
        <v>0.622082057941442</v>
      </c>
      <c r="AR10">
        <v>0.58000000000000007</v>
      </c>
      <c r="AS10">
        <v>7.14</v>
      </c>
      <c r="AT10">
        <v>0.53</v>
      </c>
      <c r="AU10">
        <v>3.3800000000000003</v>
      </c>
      <c r="BB10">
        <v>29.49424986718796</v>
      </c>
      <c r="BC10" s="2">
        <v>10.6388915754588</v>
      </c>
      <c r="BD10" s="2">
        <f t="shared" si="0"/>
        <v>11.797699946875184</v>
      </c>
      <c r="BF10">
        <v>4.97</v>
      </c>
      <c r="BG10">
        <v>6.91</v>
      </c>
      <c r="BH10" s="2">
        <v>16.181342781869787</v>
      </c>
    </row>
    <row r="11" spans="1:63" x14ac:dyDescent="0.25">
      <c r="A11">
        <v>5</v>
      </c>
      <c r="B11">
        <v>-52.711677190000003</v>
      </c>
      <c r="C11">
        <v>-17.753663119999999</v>
      </c>
      <c r="D11" t="s">
        <v>81</v>
      </c>
      <c r="F11" t="s">
        <v>62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440364</v>
      </c>
      <c r="P11">
        <v>1</v>
      </c>
      <c r="Q11">
        <v>8</v>
      </c>
      <c r="T11">
        <v>170</v>
      </c>
      <c r="V11" t="s">
        <v>70</v>
      </c>
      <c r="W11" t="s">
        <v>67</v>
      </c>
      <c r="X11" t="s">
        <v>83</v>
      </c>
      <c r="Y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0.56000000000000005</v>
      </c>
      <c r="AN11" s="2">
        <v>1.4537921652289501</v>
      </c>
      <c r="AR11">
        <v>1.04</v>
      </c>
      <c r="AS11">
        <v>5.13</v>
      </c>
      <c r="AT11">
        <v>0.61</v>
      </c>
      <c r="AU11">
        <v>2.29</v>
      </c>
      <c r="BB11">
        <v>29.394989190037901</v>
      </c>
      <c r="BD11" s="2">
        <f t="shared" si="0"/>
        <v>11.757995676015161</v>
      </c>
      <c r="BF11">
        <v>4.7300000000000004</v>
      </c>
      <c r="BG11">
        <v>6.7</v>
      </c>
      <c r="BH11" s="2">
        <v>20.188959557144408</v>
      </c>
    </row>
    <row r="12" spans="1:63" x14ac:dyDescent="0.25">
      <c r="A12">
        <v>6</v>
      </c>
      <c r="B12">
        <v>-52.70986542</v>
      </c>
      <c r="C12">
        <v>-17.759536199999999</v>
      </c>
      <c r="D12" t="s">
        <v>84</v>
      </c>
      <c r="F12" t="s">
        <v>62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440364</v>
      </c>
      <c r="P12">
        <v>1</v>
      </c>
      <c r="Q12">
        <v>9</v>
      </c>
      <c r="T12">
        <v>171</v>
      </c>
      <c r="V12" t="s">
        <v>66</v>
      </c>
      <c r="W12" t="s">
        <v>67</v>
      </c>
      <c r="X12" t="s">
        <v>85</v>
      </c>
      <c r="Y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0.41000000000000009</v>
      </c>
      <c r="AN12" s="2">
        <v>0.622082057941442</v>
      </c>
      <c r="AR12">
        <v>0.61</v>
      </c>
      <c r="AS12">
        <v>5.15</v>
      </c>
      <c r="AT12">
        <v>0.42999999999999994</v>
      </c>
      <c r="AU12">
        <v>2.1</v>
      </c>
      <c r="BB12">
        <v>28.186112513179129</v>
      </c>
      <c r="BD12" s="2">
        <f t="shared" si="0"/>
        <v>11.274445005271652</v>
      </c>
      <c r="BF12">
        <v>4.71</v>
      </c>
      <c r="BG12">
        <v>6.88</v>
      </c>
      <c r="BH12" s="2">
        <v>16.701021720402437</v>
      </c>
    </row>
    <row r="13" spans="1:63" x14ac:dyDescent="0.25">
      <c r="A13">
        <v>6</v>
      </c>
      <c r="B13">
        <v>-52.70986542</v>
      </c>
      <c r="C13">
        <v>-17.759536199999999</v>
      </c>
      <c r="D13" t="s">
        <v>84</v>
      </c>
      <c r="F13" t="s">
        <v>62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440364</v>
      </c>
      <c r="P13">
        <v>1</v>
      </c>
      <c r="Q13">
        <v>9</v>
      </c>
      <c r="T13">
        <v>171</v>
      </c>
      <c r="V13" t="s">
        <v>70</v>
      </c>
      <c r="W13" t="s">
        <v>67</v>
      </c>
      <c r="X13" t="s">
        <v>86</v>
      </c>
      <c r="Y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0.42000000000000037</v>
      </c>
      <c r="AN13" s="2">
        <v>0.78842407939894399</v>
      </c>
      <c r="AR13">
        <v>1.06</v>
      </c>
      <c r="AS13">
        <v>4.3600000000000003</v>
      </c>
      <c r="AT13">
        <v>0.36</v>
      </c>
      <c r="AU13">
        <v>1.28</v>
      </c>
      <c r="BB13">
        <v>24.86296232878254</v>
      </c>
      <c r="BD13" s="2">
        <f t="shared" si="0"/>
        <v>9.9451849315130172</v>
      </c>
      <c r="BF13">
        <v>4.5599999999999996</v>
      </c>
      <c r="BG13">
        <v>6.84</v>
      </c>
      <c r="BH13" s="2">
        <v>17.41998130816366</v>
      </c>
    </row>
    <row r="14" spans="1:63" x14ac:dyDescent="0.25">
      <c r="A14">
        <v>7</v>
      </c>
      <c r="B14">
        <v>-52.717118120000002</v>
      </c>
      <c r="C14">
        <v>-17.758374270000001</v>
      </c>
      <c r="D14" t="s">
        <v>87</v>
      </c>
      <c r="F14" t="s">
        <v>62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440364</v>
      </c>
      <c r="P14">
        <v>1</v>
      </c>
      <c r="Q14">
        <v>10</v>
      </c>
      <c r="T14">
        <v>172</v>
      </c>
      <c r="V14" t="s">
        <v>66</v>
      </c>
      <c r="W14" t="s">
        <v>67</v>
      </c>
      <c r="X14" t="s">
        <v>88</v>
      </c>
      <c r="Y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0.75</v>
      </c>
      <c r="AN14" s="2">
        <v>1.1211081223139501</v>
      </c>
      <c r="AR14">
        <v>1.98</v>
      </c>
      <c r="AS14">
        <v>1.36</v>
      </c>
      <c r="AT14">
        <v>0.34</v>
      </c>
      <c r="AU14">
        <v>0.55000000000000004</v>
      </c>
      <c r="BB14">
        <v>27.808311499848291</v>
      </c>
      <c r="BC14" s="2">
        <v>7.7419752506169699</v>
      </c>
      <c r="BD14" s="2">
        <f t="shared" si="0"/>
        <v>11.123324599939316</v>
      </c>
      <c r="BF14">
        <v>4.26</v>
      </c>
      <c r="BG14">
        <v>6.8</v>
      </c>
      <c r="BH14" s="2">
        <v>18.169891271146678</v>
      </c>
    </row>
    <row r="15" spans="1:63" x14ac:dyDescent="0.25">
      <c r="A15">
        <v>7</v>
      </c>
      <c r="B15">
        <v>-52.717118120000002</v>
      </c>
      <c r="C15">
        <v>-17.758374270000001</v>
      </c>
      <c r="D15" t="s">
        <v>87</v>
      </c>
      <c r="F15" t="s">
        <v>62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440364</v>
      </c>
      <c r="P15">
        <v>1</v>
      </c>
      <c r="Q15">
        <v>10</v>
      </c>
      <c r="T15">
        <v>172</v>
      </c>
      <c r="V15" t="s">
        <v>70</v>
      </c>
      <c r="W15" t="s">
        <v>67</v>
      </c>
      <c r="X15" t="s">
        <v>89</v>
      </c>
      <c r="Y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0.64000000000000012</v>
      </c>
      <c r="AN15" s="2">
        <v>0.622082057941442</v>
      </c>
      <c r="AR15">
        <v>2.58</v>
      </c>
      <c r="AS15">
        <v>0.79</v>
      </c>
      <c r="AT15">
        <v>0.22999999999999998</v>
      </c>
      <c r="AU15">
        <v>0.31</v>
      </c>
      <c r="BB15">
        <v>26.196401956348922</v>
      </c>
      <c r="BD15" s="2">
        <f t="shared" si="0"/>
        <v>10.478560782539569</v>
      </c>
      <c r="BF15">
        <v>4.28</v>
      </c>
      <c r="BG15">
        <v>6.76</v>
      </c>
      <c r="BH15" s="2">
        <v>18.952083987057659</v>
      </c>
    </row>
    <row r="16" spans="1:63" x14ac:dyDescent="0.25">
      <c r="A16">
        <v>8</v>
      </c>
      <c r="B16">
        <v>-52.711857840070799</v>
      </c>
      <c r="C16">
        <v>-17.761983552281599</v>
      </c>
      <c r="D16" t="s">
        <v>90</v>
      </c>
      <c r="F16" t="s">
        <v>62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440364</v>
      </c>
      <c r="P16">
        <v>1</v>
      </c>
      <c r="Q16">
        <v>9</v>
      </c>
      <c r="T16">
        <v>173</v>
      </c>
      <c r="V16" t="s">
        <v>66</v>
      </c>
      <c r="W16" t="s">
        <v>67</v>
      </c>
      <c r="X16" t="s">
        <v>91</v>
      </c>
      <c r="Y16">
        <v>15</v>
      </c>
      <c r="AC16" t="s">
        <v>69</v>
      </c>
      <c r="AF16" t="s">
        <v>69</v>
      </c>
      <c r="AH16" t="s">
        <v>69</v>
      </c>
      <c r="AI16" t="s">
        <v>69</v>
      </c>
      <c r="AM16">
        <v>0.45000000000000018</v>
      </c>
      <c r="AN16" s="2">
        <v>0.78842407939894399</v>
      </c>
      <c r="AR16">
        <v>1.7199999999999998</v>
      </c>
      <c r="AS16">
        <v>3.33</v>
      </c>
      <c r="AT16">
        <v>0.56000000000000005</v>
      </c>
      <c r="AU16">
        <v>1.22</v>
      </c>
      <c r="BB16">
        <v>26.537356468209481</v>
      </c>
      <c r="BD16" s="2">
        <f t="shared" si="0"/>
        <v>10.614942587283792</v>
      </c>
      <c r="BF16">
        <v>4.3600000000000003</v>
      </c>
      <c r="BG16">
        <v>6.71</v>
      </c>
      <c r="BH16" s="2">
        <v>19.977345337733919</v>
      </c>
    </row>
    <row r="17" spans="1:60" x14ac:dyDescent="0.25">
      <c r="A17">
        <v>8</v>
      </c>
      <c r="B17">
        <v>-52.711857840070799</v>
      </c>
      <c r="C17">
        <v>-17.761983552281599</v>
      </c>
      <c r="D17" t="s">
        <v>90</v>
      </c>
      <c r="F17" t="s">
        <v>62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440364</v>
      </c>
      <c r="P17">
        <v>1</v>
      </c>
      <c r="Q17">
        <v>9</v>
      </c>
      <c r="T17">
        <v>173</v>
      </c>
      <c r="V17" t="s">
        <v>70</v>
      </c>
      <c r="W17" t="s">
        <v>67</v>
      </c>
      <c r="X17" t="s">
        <v>92</v>
      </c>
      <c r="Y17">
        <v>16</v>
      </c>
      <c r="AC17" t="s">
        <v>69</v>
      </c>
      <c r="AF17" t="s">
        <v>69</v>
      </c>
      <c r="AH17" t="s">
        <v>69</v>
      </c>
      <c r="AI17" t="s">
        <v>69</v>
      </c>
      <c r="AM17">
        <v>0.44000000000000039</v>
      </c>
      <c r="AN17" s="2">
        <v>0.78842407939894399</v>
      </c>
      <c r="AR17">
        <v>1.41</v>
      </c>
      <c r="AS17">
        <v>3.96</v>
      </c>
      <c r="AT17">
        <v>0.29000000000000004</v>
      </c>
      <c r="AU17">
        <v>0.49</v>
      </c>
      <c r="BB17">
        <v>22.170392530740909</v>
      </c>
      <c r="BD17" s="2">
        <f t="shared" si="0"/>
        <v>8.8681570122963631</v>
      </c>
      <c r="BF17">
        <v>4.43</v>
      </c>
      <c r="BG17">
        <v>6.82</v>
      </c>
      <c r="BH17" s="2">
        <v>17.790985535229375</v>
      </c>
    </row>
    <row r="18" spans="1:60" x14ac:dyDescent="0.25">
      <c r="A18">
        <v>9</v>
      </c>
      <c r="B18">
        <v>-52.716523010000003</v>
      </c>
      <c r="C18">
        <v>-17.76335508</v>
      </c>
      <c r="D18" t="s">
        <v>93</v>
      </c>
      <c r="F18" t="s">
        <v>62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440364</v>
      </c>
      <c r="P18">
        <v>1</v>
      </c>
      <c r="Q18">
        <v>11</v>
      </c>
      <c r="T18">
        <v>174</v>
      </c>
      <c r="V18" t="s">
        <v>66</v>
      </c>
      <c r="W18" t="s">
        <v>67</v>
      </c>
      <c r="X18" t="s">
        <v>94</v>
      </c>
      <c r="Y18">
        <v>17</v>
      </c>
      <c r="AC18" t="s">
        <v>69</v>
      </c>
      <c r="AF18" t="s">
        <v>69</v>
      </c>
      <c r="AH18" t="s">
        <v>69</v>
      </c>
      <c r="AI18" t="s">
        <v>69</v>
      </c>
      <c r="AM18">
        <v>0.49000000000000021</v>
      </c>
      <c r="AN18" s="2">
        <v>0.622082057941442</v>
      </c>
      <c r="AR18">
        <v>1.8199999999999998</v>
      </c>
      <c r="AS18">
        <v>1.5</v>
      </c>
      <c r="AT18">
        <v>0.21999999999999997</v>
      </c>
      <c r="AU18">
        <v>0.53</v>
      </c>
      <c r="BB18">
        <v>25.254847481549149</v>
      </c>
      <c r="BD18" s="2">
        <f t="shared" si="0"/>
        <v>10.10193899261966</v>
      </c>
      <c r="BF18">
        <v>4.3499999999999996</v>
      </c>
      <c r="BG18">
        <v>6.84</v>
      </c>
      <c r="BH18" s="2">
        <v>17.41998130816366</v>
      </c>
    </row>
    <row r="19" spans="1:60" x14ac:dyDescent="0.25">
      <c r="A19">
        <v>9</v>
      </c>
      <c r="B19">
        <v>-52.716523010000003</v>
      </c>
      <c r="C19">
        <v>-17.76335508</v>
      </c>
      <c r="D19" t="s">
        <v>93</v>
      </c>
      <c r="F19" t="s">
        <v>62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440364</v>
      </c>
      <c r="P19">
        <v>1</v>
      </c>
      <c r="Q19">
        <v>11</v>
      </c>
      <c r="T19">
        <v>174</v>
      </c>
      <c r="V19" t="s">
        <v>70</v>
      </c>
      <c r="W19" t="s">
        <v>67</v>
      </c>
      <c r="X19" t="s">
        <v>95</v>
      </c>
      <c r="Y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0.55000000000000027</v>
      </c>
      <c r="AN19" s="2">
        <v>1.1211081223139501</v>
      </c>
      <c r="AR19">
        <v>2.1800000000000002</v>
      </c>
      <c r="AS19">
        <v>1.28</v>
      </c>
      <c r="AT19">
        <v>0.26</v>
      </c>
      <c r="AU19">
        <v>0.39</v>
      </c>
      <c r="BB19">
        <v>22.00065851063383</v>
      </c>
      <c r="BD19" s="2">
        <f t="shared" si="0"/>
        <v>8.800263404253533</v>
      </c>
      <c r="BF19">
        <v>4.32</v>
      </c>
      <c r="BG19">
        <v>6.8</v>
      </c>
      <c r="BH19" s="2">
        <v>18.169891271146678</v>
      </c>
    </row>
    <row r="20" spans="1:60" x14ac:dyDescent="0.25">
      <c r="A20">
        <v>10</v>
      </c>
      <c r="B20">
        <v>-52.710968945832299</v>
      </c>
      <c r="C20">
        <v>-17.764731115228301</v>
      </c>
      <c r="D20" t="s">
        <v>96</v>
      </c>
      <c r="F20" t="s">
        <v>62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440364</v>
      </c>
      <c r="P20">
        <v>1</v>
      </c>
      <c r="Q20">
        <v>12</v>
      </c>
      <c r="T20">
        <v>175</v>
      </c>
      <c r="V20" t="s">
        <v>66</v>
      </c>
      <c r="W20" t="s">
        <v>67</v>
      </c>
      <c r="X20" t="s">
        <v>97</v>
      </c>
      <c r="Y20">
        <v>19</v>
      </c>
      <c r="AC20" t="s">
        <v>69</v>
      </c>
      <c r="AE20" t="s">
        <v>69</v>
      </c>
      <c r="AF20" t="s">
        <v>69</v>
      </c>
      <c r="AH20" t="s">
        <v>69</v>
      </c>
      <c r="AI20" t="s">
        <v>69</v>
      </c>
      <c r="AM20">
        <v>0.48000000000000043</v>
      </c>
      <c r="AN20" s="2">
        <v>1.62013418668646</v>
      </c>
      <c r="AR20">
        <v>1.43</v>
      </c>
      <c r="AS20">
        <v>3.4000000000000004</v>
      </c>
      <c r="AT20">
        <v>0.27</v>
      </c>
      <c r="AU20">
        <v>0.64999999999999991</v>
      </c>
      <c r="BB20">
        <v>24.578442831347729</v>
      </c>
      <c r="BC20" s="2">
        <v>9.0093761427352703</v>
      </c>
      <c r="BD20" s="2">
        <f t="shared" si="0"/>
        <v>9.8313771325390924</v>
      </c>
      <c r="BF20">
        <v>4.38</v>
      </c>
      <c r="BG20">
        <v>6.84</v>
      </c>
      <c r="BH20" s="2">
        <v>17.41998130816366</v>
      </c>
    </row>
    <row r="21" spans="1:60" x14ac:dyDescent="0.25">
      <c r="A21">
        <v>10</v>
      </c>
      <c r="B21">
        <v>-52.710968945832299</v>
      </c>
      <c r="C21">
        <v>-17.764731115228301</v>
      </c>
      <c r="D21" t="s">
        <v>96</v>
      </c>
      <c r="F21" t="s">
        <v>62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440364</v>
      </c>
      <c r="P21">
        <v>1</v>
      </c>
      <c r="Q21">
        <v>12</v>
      </c>
      <c r="T21">
        <v>175</v>
      </c>
      <c r="V21" t="s">
        <v>70</v>
      </c>
      <c r="W21" t="s">
        <v>67</v>
      </c>
      <c r="X21" t="s">
        <v>98</v>
      </c>
      <c r="Y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0.54</v>
      </c>
      <c r="AN21" s="2">
        <v>0.622082057941442</v>
      </c>
      <c r="AR21">
        <v>1.9700000000000002</v>
      </c>
      <c r="AS21">
        <v>2.4</v>
      </c>
      <c r="AT21">
        <v>0.22999999999999998</v>
      </c>
      <c r="AU21">
        <v>0.38</v>
      </c>
      <c r="BB21">
        <v>24.085094513141168</v>
      </c>
      <c r="BD21" s="2">
        <f t="shared" si="0"/>
        <v>9.6340378052564688</v>
      </c>
      <c r="BF21">
        <v>4.28</v>
      </c>
      <c r="BG21">
        <v>6.77</v>
      </c>
      <c r="BH21" s="2">
        <v>18.753434301927946</v>
      </c>
    </row>
    <row r="22" spans="1:60" x14ac:dyDescent="0.25">
      <c r="A22">
        <v>11</v>
      </c>
      <c r="B22">
        <v>-52.730650820000001</v>
      </c>
      <c r="C22">
        <v>-17.690250679999998</v>
      </c>
      <c r="D22" t="s">
        <v>99</v>
      </c>
      <c r="F22" t="s">
        <v>62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440361</v>
      </c>
      <c r="P22">
        <v>1</v>
      </c>
      <c r="Q22">
        <v>1001</v>
      </c>
      <c r="T22">
        <v>266</v>
      </c>
      <c r="V22" t="s">
        <v>66</v>
      </c>
      <c r="W22" t="s">
        <v>67</v>
      </c>
      <c r="X22" t="s">
        <v>100</v>
      </c>
      <c r="Y22">
        <v>21</v>
      </c>
      <c r="AC22" t="s">
        <v>69</v>
      </c>
      <c r="AE22" t="s">
        <v>69</v>
      </c>
      <c r="AF22" t="s">
        <v>69</v>
      </c>
      <c r="AH22" t="s">
        <v>69</v>
      </c>
      <c r="AI22" t="s">
        <v>69</v>
      </c>
      <c r="AM22">
        <v>0.67000000000000037</v>
      </c>
      <c r="AN22" s="2">
        <v>0.95476610085644698</v>
      </c>
      <c r="AR22">
        <v>2.5700000000000003</v>
      </c>
      <c r="AS22">
        <v>1.1000000000000001</v>
      </c>
      <c r="AT22">
        <v>0.16</v>
      </c>
      <c r="AU22">
        <v>0.17</v>
      </c>
      <c r="BB22">
        <v>21.498525573457531</v>
      </c>
      <c r="BC22" s="2">
        <v>7.1988034397091303</v>
      </c>
      <c r="BD22" s="2">
        <f t="shared" si="0"/>
        <v>8.5994102293830128</v>
      </c>
      <c r="BF22">
        <v>4.2</v>
      </c>
      <c r="BG22">
        <v>6.74</v>
      </c>
      <c r="BH22" s="2">
        <v>19.355718362233922</v>
      </c>
    </row>
    <row r="23" spans="1:60" x14ac:dyDescent="0.25">
      <c r="A23">
        <v>11</v>
      </c>
      <c r="B23">
        <v>-52.730650820000001</v>
      </c>
      <c r="C23">
        <v>-17.690250679999998</v>
      </c>
      <c r="D23" t="s">
        <v>99</v>
      </c>
      <c r="F23" t="s">
        <v>62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440361</v>
      </c>
      <c r="P23">
        <v>1</v>
      </c>
      <c r="Q23">
        <v>1001</v>
      </c>
      <c r="T23">
        <v>266</v>
      </c>
      <c r="V23" t="s">
        <v>70</v>
      </c>
      <c r="W23" t="s">
        <v>67</v>
      </c>
      <c r="X23" t="s">
        <v>101</v>
      </c>
      <c r="Y23">
        <v>22</v>
      </c>
      <c r="AC23" t="s">
        <v>69</v>
      </c>
      <c r="AE23" t="s">
        <v>69</v>
      </c>
      <c r="AF23" t="s">
        <v>69</v>
      </c>
      <c r="AH23" t="s">
        <v>69</v>
      </c>
      <c r="AI23" t="s">
        <v>69</v>
      </c>
      <c r="AM23">
        <v>0.77</v>
      </c>
      <c r="AN23" s="2">
        <v>0.78842407939894399</v>
      </c>
      <c r="AR23">
        <v>2.7600000000000002</v>
      </c>
      <c r="AS23">
        <v>0.40999999999999986</v>
      </c>
      <c r="AT23">
        <v>0.16</v>
      </c>
      <c r="AU23">
        <v>0.22999999999999998</v>
      </c>
      <c r="BB23">
        <v>20.218143060239409</v>
      </c>
      <c r="BC23" s="2">
        <v>7.0177461694065197</v>
      </c>
      <c r="BD23" s="2">
        <f t="shared" si="0"/>
        <v>8.0872572240957634</v>
      </c>
      <c r="BF23">
        <v>4.18</v>
      </c>
      <c r="BG23">
        <v>6.7</v>
      </c>
      <c r="BH23" s="2">
        <v>20.188959557144408</v>
      </c>
    </row>
    <row r="24" spans="1:60" x14ac:dyDescent="0.25">
      <c r="A24">
        <v>12</v>
      </c>
      <c r="B24">
        <v>-52.721589440000002</v>
      </c>
      <c r="C24">
        <v>-17.681804660000001</v>
      </c>
      <c r="D24" t="s">
        <v>102</v>
      </c>
      <c r="F24" t="s">
        <v>62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440361</v>
      </c>
      <c r="P24">
        <v>1</v>
      </c>
      <c r="Q24">
        <v>1001</v>
      </c>
      <c r="T24">
        <v>268</v>
      </c>
      <c r="V24" t="s">
        <v>66</v>
      </c>
      <c r="W24" t="s">
        <v>67</v>
      </c>
      <c r="X24" t="s">
        <v>103</v>
      </c>
      <c r="Y24">
        <v>23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0.71000000000000041</v>
      </c>
      <c r="AN24" s="2">
        <v>1.4537921652289501</v>
      </c>
      <c r="AR24">
        <v>4.3600000000000003</v>
      </c>
      <c r="AS24">
        <v>0.25</v>
      </c>
      <c r="AT24">
        <v>0.13</v>
      </c>
      <c r="AU24">
        <v>0.14000000000000001</v>
      </c>
      <c r="BB24">
        <v>17.168674304371361</v>
      </c>
      <c r="BC24" s="2">
        <v>7.3798607100117399</v>
      </c>
      <c r="BD24" s="2">
        <f t="shared" si="0"/>
        <v>6.8674697217485452</v>
      </c>
      <c r="BF24">
        <v>4.1500000000000004</v>
      </c>
      <c r="BG24">
        <v>6.61</v>
      </c>
      <c r="BH24" s="2">
        <v>22.197260900679254</v>
      </c>
    </row>
    <row r="25" spans="1:60" x14ac:dyDescent="0.25">
      <c r="A25">
        <v>12</v>
      </c>
      <c r="B25">
        <v>-52.721589440000002</v>
      </c>
      <c r="C25">
        <v>-17.681804660000001</v>
      </c>
      <c r="D25" t="s">
        <v>102</v>
      </c>
      <c r="F25" t="s">
        <v>62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440361</v>
      </c>
      <c r="P25">
        <v>1</v>
      </c>
      <c r="Q25">
        <v>1001</v>
      </c>
      <c r="T25">
        <v>268</v>
      </c>
      <c r="V25" t="s">
        <v>70</v>
      </c>
      <c r="W25" t="s">
        <v>67</v>
      </c>
      <c r="X25" t="s">
        <v>104</v>
      </c>
      <c r="Y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0.61000000000000032</v>
      </c>
      <c r="AN25" s="2">
        <v>3.1172123798039801</v>
      </c>
      <c r="AR25">
        <v>4.2</v>
      </c>
      <c r="AS25">
        <v>0.18</v>
      </c>
      <c r="AT25">
        <v>0.08</v>
      </c>
      <c r="AU25">
        <v>0.10999999999999999</v>
      </c>
      <c r="BB25">
        <v>20.990915454607691</v>
      </c>
      <c r="BD25" s="2">
        <f t="shared" si="0"/>
        <v>8.3963661818430761</v>
      </c>
      <c r="BF25">
        <v>4.17</v>
      </c>
      <c r="BG25">
        <v>6.72</v>
      </c>
      <c r="BH25" s="2">
        <v>19.767949190915541</v>
      </c>
    </row>
    <row r="26" spans="1:60" x14ac:dyDescent="0.25">
      <c r="A26">
        <v>13</v>
      </c>
      <c r="B26">
        <v>-52.728767060000003</v>
      </c>
      <c r="C26">
        <v>-17.692377440000001</v>
      </c>
      <c r="D26" t="s">
        <v>105</v>
      </c>
      <c r="F26" t="s">
        <v>62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440361</v>
      </c>
      <c r="P26">
        <v>1</v>
      </c>
      <c r="Q26">
        <v>1001</v>
      </c>
      <c r="T26">
        <v>269</v>
      </c>
      <c r="V26" t="s">
        <v>66</v>
      </c>
      <c r="W26" t="s">
        <v>67</v>
      </c>
      <c r="X26" t="s">
        <v>106</v>
      </c>
      <c r="Y26">
        <v>25</v>
      </c>
      <c r="AC26" t="s">
        <v>69</v>
      </c>
      <c r="AE26" t="s">
        <v>69</v>
      </c>
      <c r="AF26" t="s">
        <v>69</v>
      </c>
      <c r="AH26" t="s">
        <v>69</v>
      </c>
      <c r="AI26" t="s">
        <v>69</v>
      </c>
      <c r="AM26">
        <v>0.63000000000000034</v>
      </c>
      <c r="AN26" s="2">
        <v>0.95476610085644698</v>
      </c>
      <c r="AR26">
        <v>3.57</v>
      </c>
      <c r="AS26">
        <v>0.16</v>
      </c>
      <c r="AT26">
        <v>0.10999999999999999</v>
      </c>
      <c r="AU26">
        <v>0.08</v>
      </c>
      <c r="BB26">
        <v>26.005267085332349</v>
      </c>
      <c r="BC26" s="2">
        <v>7.0177461694065197</v>
      </c>
      <c r="BD26" s="2">
        <f t="shared" si="0"/>
        <v>10.40210683413294</v>
      </c>
      <c r="BF26">
        <v>4.16</v>
      </c>
      <c r="BG26">
        <v>6.62</v>
      </c>
      <c r="BH26" s="2">
        <v>21.964596308665367</v>
      </c>
    </row>
    <row r="27" spans="1:60" x14ac:dyDescent="0.25">
      <c r="A27">
        <v>13</v>
      </c>
      <c r="B27">
        <v>-52.728767060000003</v>
      </c>
      <c r="C27">
        <v>-17.692377440000001</v>
      </c>
      <c r="D27" t="s">
        <v>105</v>
      </c>
      <c r="F27" t="s">
        <v>62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440361</v>
      </c>
      <c r="P27">
        <v>1</v>
      </c>
      <c r="Q27">
        <v>1001</v>
      </c>
      <c r="T27">
        <v>269</v>
      </c>
      <c r="V27" t="s">
        <v>70</v>
      </c>
      <c r="W27" t="s">
        <v>67</v>
      </c>
      <c r="X27" t="s">
        <v>107</v>
      </c>
      <c r="Y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0.52</v>
      </c>
      <c r="AN27" s="2">
        <v>1.1211081223139501</v>
      </c>
      <c r="AR27">
        <v>3.7199999999999998</v>
      </c>
      <c r="AS27">
        <v>0.12</v>
      </c>
      <c r="AT27">
        <v>0.10999999999999999</v>
      </c>
      <c r="AU27">
        <v>9.0000000000000011E-2</v>
      </c>
      <c r="BB27">
        <v>25.43349792732462</v>
      </c>
      <c r="BD27" s="2">
        <f t="shared" si="0"/>
        <v>10.173399170929848</v>
      </c>
      <c r="BF27">
        <v>4.17</v>
      </c>
      <c r="BG27">
        <v>6.62</v>
      </c>
      <c r="BH27" s="2">
        <v>21.964596308665367</v>
      </c>
    </row>
    <row r="28" spans="1:60" x14ac:dyDescent="0.25">
      <c r="A28">
        <v>14</v>
      </c>
      <c r="B28">
        <v>-52.721525509999999</v>
      </c>
      <c r="C28">
        <v>-17.689991540000001</v>
      </c>
      <c r="D28" t="s">
        <v>108</v>
      </c>
      <c r="F28" t="s">
        <v>62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440361</v>
      </c>
      <c r="P28">
        <v>1</v>
      </c>
      <c r="Q28">
        <v>1001</v>
      </c>
      <c r="T28">
        <v>270</v>
      </c>
      <c r="V28" t="s">
        <v>66</v>
      </c>
      <c r="W28" t="s">
        <v>67</v>
      </c>
      <c r="X28" t="s">
        <v>109</v>
      </c>
      <c r="Y28">
        <v>27</v>
      </c>
      <c r="AC28" t="s">
        <v>69</v>
      </c>
      <c r="AF28" t="s">
        <v>69</v>
      </c>
      <c r="AH28" t="s">
        <v>69</v>
      </c>
      <c r="AI28" t="s">
        <v>69</v>
      </c>
      <c r="AM28">
        <v>0.70000000000000018</v>
      </c>
      <c r="AN28" s="2">
        <v>2.1191602510589602</v>
      </c>
      <c r="AR28">
        <v>2.6500000000000004</v>
      </c>
      <c r="AS28">
        <v>0.47</v>
      </c>
      <c r="AT28">
        <v>0.21999999999999997</v>
      </c>
      <c r="AU28">
        <v>0.49</v>
      </c>
      <c r="BB28">
        <v>21.568300308508011</v>
      </c>
      <c r="BD28" s="2">
        <f t="shared" si="0"/>
        <v>8.6273201234032051</v>
      </c>
      <c r="BF28">
        <v>4.24</v>
      </c>
      <c r="BG28">
        <v>6.88</v>
      </c>
      <c r="BH28" s="2">
        <v>16.701021720402437</v>
      </c>
    </row>
    <row r="29" spans="1:60" x14ac:dyDescent="0.25">
      <c r="A29">
        <v>14</v>
      </c>
      <c r="B29">
        <v>-52.721525509999999</v>
      </c>
      <c r="C29">
        <v>-17.689991540000001</v>
      </c>
      <c r="D29" t="s">
        <v>108</v>
      </c>
      <c r="F29" t="s">
        <v>62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440361</v>
      </c>
      <c r="P29">
        <v>1</v>
      </c>
      <c r="Q29">
        <v>1001</v>
      </c>
      <c r="T29">
        <v>270</v>
      </c>
      <c r="V29" t="s">
        <v>70</v>
      </c>
      <c r="W29" t="s">
        <v>67</v>
      </c>
      <c r="X29" t="s">
        <v>110</v>
      </c>
      <c r="Y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0.55000000000000027</v>
      </c>
      <c r="AN29" s="2">
        <v>1.2874501437714501</v>
      </c>
      <c r="AR29">
        <v>3.93</v>
      </c>
      <c r="AS29">
        <v>0.42000000000000004</v>
      </c>
      <c r="AT29">
        <v>0.24</v>
      </c>
      <c r="AU29">
        <v>0.55000000000000004</v>
      </c>
      <c r="BB29">
        <v>20.18367271947827</v>
      </c>
      <c r="BD29" s="2">
        <f t="shared" si="0"/>
        <v>8.0734690877913078</v>
      </c>
      <c r="BF29">
        <v>4.2300000000000004</v>
      </c>
      <c r="BG29">
        <v>6.85</v>
      </c>
      <c r="BH29" s="2">
        <v>17.237390633481372</v>
      </c>
    </row>
    <row r="30" spans="1:60" x14ac:dyDescent="0.25">
      <c r="A30">
        <v>15</v>
      </c>
      <c r="B30">
        <v>-52.720240769999997</v>
      </c>
      <c r="C30">
        <v>-17.69099009</v>
      </c>
      <c r="D30" t="s">
        <v>111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440361</v>
      </c>
      <c r="P30">
        <v>1</v>
      </c>
      <c r="Q30">
        <v>1001</v>
      </c>
      <c r="T30">
        <v>271</v>
      </c>
      <c r="V30" t="s">
        <v>66</v>
      </c>
      <c r="W30" t="s">
        <v>67</v>
      </c>
      <c r="X30" t="s">
        <v>112</v>
      </c>
      <c r="Y30">
        <v>29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0.63000000000000034</v>
      </c>
      <c r="AN30" s="2">
        <v>1.62013418668646</v>
      </c>
      <c r="AR30">
        <v>3.3600000000000003</v>
      </c>
      <c r="AS30">
        <v>0.75</v>
      </c>
      <c r="AT30">
        <v>0.17</v>
      </c>
      <c r="AU30">
        <v>0.26</v>
      </c>
      <c r="BB30">
        <v>19.306060525055099</v>
      </c>
      <c r="BC30" s="2">
        <v>7.0177461694065197</v>
      </c>
      <c r="BD30" s="2">
        <f t="shared" si="0"/>
        <v>7.7224242100220399</v>
      </c>
      <c r="BF30">
        <v>4.21</v>
      </c>
      <c r="BG30">
        <v>6.8</v>
      </c>
      <c r="BH30" s="2">
        <v>18.169891271146678</v>
      </c>
    </row>
    <row r="31" spans="1:60" x14ac:dyDescent="0.25">
      <c r="A31">
        <v>15</v>
      </c>
      <c r="B31">
        <v>-52.720240769999997</v>
      </c>
      <c r="C31">
        <v>-17.69099009</v>
      </c>
      <c r="D31" t="s">
        <v>111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440361</v>
      </c>
      <c r="P31">
        <v>1</v>
      </c>
      <c r="Q31">
        <v>1001</v>
      </c>
      <c r="T31">
        <v>271</v>
      </c>
      <c r="V31" t="s">
        <v>70</v>
      </c>
      <c r="W31" t="s">
        <v>67</v>
      </c>
      <c r="X31" t="s">
        <v>113</v>
      </c>
      <c r="Y31">
        <v>30</v>
      </c>
      <c r="AC31" t="s">
        <v>69</v>
      </c>
      <c r="AF31" t="s">
        <v>69</v>
      </c>
      <c r="AH31" t="s">
        <v>69</v>
      </c>
      <c r="AI31" t="s">
        <v>69</v>
      </c>
      <c r="AM31">
        <v>0.77</v>
      </c>
      <c r="AN31" s="2">
        <v>1.95281822960146</v>
      </c>
      <c r="AR31">
        <v>3.3600000000000003</v>
      </c>
      <c r="AS31">
        <v>0.95</v>
      </c>
      <c r="AT31">
        <v>0.22999999999999998</v>
      </c>
      <c r="AU31">
        <v>0.31</v>
      </c>
      <c r="BB31">
        <v>20.00201074969516</v>
      </c>
      <c r="BD31" s="2">
        <f t="shared" si="0"/>
        <v>8.0008042998780642</v>
      </c>
      <c r="BF31">
        <v>4.2</v>
      </c>
      <c r="BG31">
        <v>6.8</v>
      </c>
      <c r="BH31" s="2">
        <v>18.169891271146678</v>
      </c>
    </row>
    <row r="32" spans="1:60" x14ac:dyDescent="0.25">
      <c r="A32">
        <v>16</v>
      </c>
      <c r="B32">
        <v>-52.724126550000001</v>
      </c>
      <c r="C32">
        <v>-17.691165259999998</v>
      </c>
      <c r="D32" t="s">
        <v>114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440361</v>
      </c>
      <c r="P32">
        <v>1</v>
      </c>
      <c r="Q32">
        <v>1001</v>
      </c>
      <c r="T32">
        <v>272</v>
      </c>
      <c r="V32" t="s">
        <v>66</v>
      </c>
      <c r="W32" t="s">
        <v>67</v>
      </c>
      <c r="X32" t="s">
        <v>115</v>
      </c>
      <c r="Y32">
        <v>31</v>
      </c>
      <c r="AC32" t="s">
        <v>69</v>
      </c>
      <c r="AF32" t="s">
        <v>69</v>
      </c>
      <c r="AH32" t="s">
        <v>69</v>
      </c>
      <c r="AI32" t="s">
        <v>69</v>
      </c>
      <c r="AM32">
        <v>1.01</v>
      </c>
      <c r="AN32" s="2">
        <v>1.1211081223139501</v>
      </c>
      <c r="AR32">
        <v>2.5</v>
      </c>
      <c r="AS32">
        <v>0.19</v>
      </c>
      <c r="AT32">
        <v>0.21000000000000002</v>
      </c>
      <c r="AU32">
        <v>0.13</v>
      </c>
      <c r="BB32">
        <v>18.931944704621511</v>
      </c>
      <c r="BD32" s="2">
        <f t="shared" si="0"/>
        <v>7.5727778818486051</v>
      </c>
      <c r="BF32">
        <v>4.26</v>
      </c>
      <c r="BG32">
        <v>6.91</v>
      </c>
      <c r="BH32" s="2">
        <v>16.181342781869787</v>
      </c>
    </row>
    <row r="33" spans="1:60" x14ac:dyDescent="0.25">
      <c r="A33">
        <v>16</v>
      </c>
      <c r="B33">
        <v>-52.724126550000001</v>
      </c>
      <c r="C33">
        <v>-17.691165259999998</v>
      </c>
      <c r="D33" t="s">
        <v>114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440361</v>
      </c>
      <c r="P33">
        <v>1</v>
      </c>
      <c r="Q33">
        <v>1001</v>
      </c>
      <c r="T33">
        <v>272</v>
      </c>
      <c r="V33" t="s">
        <v>70</v>
      </c>
      <c r="W33" t="s">
        <v>67</v>
      </c>
      <c r="X33" t="s">
        <v>116</v>
      </c>
      <c r="Y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0.65000000000000036</v>
      </c>
      <c r="AN33" s="2">
        <v>1.2874501437714501</v>
      </c>
      <c r="AR33">
        <v>2.6100000000000003</v>
      </c>
      <c r="AS33">
        <v>0.1</v>
      </c>
      <c r="AT33">
        <v>0.13</v>
      </c>
      <c r="AU33">
        <v>0.10999999999999999</v>
      </c>
      <c r="BB33">
        <v>20.19692811196893</v>
      </c>
      <c r="BD33" s="2">
        <f t="shared" si="0"/>
        <v>8.078771244787573</v>
      </c>
      <c r="BF33">
        <v>4.24</v>
      </c>
      <c r="BG33">
        <v>6.92</v>
      </c>
      <c r="BH33" s="2">
        <v>16.011735120211615</v>
      </c>
    </row>
    <row r="34" spans="1:60" x14ac:dyDescent="0.25">
      <c r="A34">
        <v>17</v>
      </c>
      <c r="B34">
        <v>-52.71713587</v>
      </c>
      <c r="C34">
        <v>-17.686812929999999</v>
      </c>
      <c r="D34" t="s">
        <v>117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440361</v>
      </c>
      <c r="P34">
        <v>1</v>
      </c>
      <c r="Q34">
        <v>1001</v>
      </c>
      <c r="T34">
        <v>273</v>
      </c>
      <c r="V34" t="s">
        <v>66</v>
      </c>
      <c r="W34" t="s">
        <v>67</v>
      </c>
      <c r="X34" t="s">
        <v>118</v>
      </c>
      <c r="Y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0.66000000000000014</v>
      </c>
      <c r="AN34" s="2">
        <v>0.78842407939894399</v>
      </c>
      <c r="AR34">
        <v>3.31</v>
      </c>
      <c r="AS34">
        <v>0.35000000000000003</v>
      </c>
      <c r="AT34">
        <v>0.27</v>
      </c>
      <c r="AU34">
        <v>0.18</v>
      </c>
      <c r="BB34">
        <v>21.3273200507906</v>
      </c>
      <c r="BD34" s="2">
        <f t="shared" si="0"/>
        <v>8.5309280203162405</v>
      </c>
      <c r="BF34">
        <v>4.21</v>
      </c>
      <c r="BG34">
        <v>6.88</v>
      </c>
      <c r="BH34" s="2">
        <v>16.701021720402437</v>
      </c>
    </row>
    <row r="35" spans="1:60" x14ac:dyDescent="0.25">
      <c r="A35">
        <v>17</v>
      </c>
      <c r="B35">
        <v>-52.71713587</v>
      </c>
      <c r="C35">
        <v>-17.686812929999999</v>
      </c>
      <c r="D35" t="s">
        <v>117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440361</v>
      </c>
      <c r="P35">
        <v>1</v>
      </c>
      <c r="Q35">
        <v>1001</v>
      </c>
      <c r="T35">
        <v>273</v>
      </c>
      <c r="V35" t="s">
        <v>70</v>
      </c>
      <c r="W35" t="s">
        <v>67</v>
      </c>
      <c r="X35" t="s">
        <v>119</v>
      </c>
      <c r="Y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0.5900000000000003</v>
      </c>
      <c r="AN35" s="2">
        <v>0.95476610085644698</v>
      </c>
      <c r="AR35">
        <v>3.2</v>
      </c>
      <c r="AS35">
        <v>0.31</v>
      </c>
      <c r="AT35">
        <v>0.17</v>
      </c>
      <c r="AU35">
        <v>0.15</v>
      </c>
      <c r="BB35">
        <v>18.44971439617299</v>
      </c>
      <c r="BD35" s="2">
        <f t="shared" si="0"/>
        <v>7.3798857584691966</v>
      </c>
      <c r="BF35">
        <v>4.2300000000000004</v>
      </c>
      <c r="BG35">
        <v>7</v>
      </c>
      <c r="BH35" s="2">
        <v>14.717332758541527</v>
      </c>
    </row>
    <row r="36" spans="1:60" x14ac:dyDescent="0.25">
      <c r="A36">
        <v>18</v>
      </c>
      <c r="B36">
        <v>-52.716627690000003</v>
      </c>
      <c r="C36">
        <v>-17.685363710000001</v>
      </c>
      <c r="D36" t="s">
        <v>120</v>
      </c>
      <c r="F36" t="s">
        <v>62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440361</v>
      </c>
      <c r="P36">
        <v>1</v>
      </c>
      <c r="Q36">
        <v>1001</v>
      </c>
      <c r="T36">
        <v>274</v>
      </c>
      <c r="V36" t="s">
        <v>66</v>
      </c>
      <c r="W36" t="s">
        <v>67</v>
      </c>
      <c r="X36" t="s">
        <v>121</v>
      </c>
      <c r="Y36">
        <v>35</v>
      </c>
      <c r="AC36" t="s">
        <v>69</v>
      </c>
      <c r="AF36" t="s">
        <v>69</v>
      </c>
      <c r="AH36" t="s">
        <v>69</v>
      </c>
      <c r="AI36" t="s">
        <v>69</v>
      </c>
      <c r="AM36">
        <v>0.7200000000000002</v>
      </c>
      <c r="AN36" s="2">
        <v>1.1211081223139501</v>
      </c>
      <c r="AR36">
        <v>1.81</v>
      </c>
      <c r="AS36">
        <v>0.32</v>
      </c>
      <c r="AT36">
        <v>0.3</v>
      </c>
      <c r="AU36">
        <v>0.16</v>
      </c>
      <c r="BB36">
        <v>23.912967075236221</v>
      </c>
      <c r="BD36" s="2">
        <f t="shared" si="0"/>
        <v>9.565186830094488</v>
      </c>
      <c r="BF36">
        <v>4.2300000000000004</v>
      </c>
      <c r="BG36">
        <v>7.06</v>
      </c>
      <c r="BH36" s="2">
        <v>13.81567612317343</v>
      </c>
    </row>
    <row r="37" spans="1:60" x14ac:dyDescent="0.25">
      <c r="A37">
        <v>18</v>
      </c>
      <c r="B37">
        <v>-52.716627690000003</v>
      </c>
      <c r="C37">
        <v>-17.685363710000001</v>
      </c>
      <c r="D37" t="s">
        <v>120</v>
      </c>
      <c r="F37" t="s">
        <v>62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440361</v>
      </c>
      <c r="P37">
        <v>1</v>
      </c>
      <c r="Q37">
        <v>1001</v>
      </c>
      <c r="T37">
        <v>274</v>
      </c>
      <c r="V37" t="s">
        <v>70</v>
      </c>
      <c r="W37" t="s">
        <v>67</v>
      </c>
      <c r="X37" t="s">
        <v>122</v>
      </c>
      <c r="Y37">
        <v>36</v>
      </c>
      <c r="AC37" t="s">
        <v>69</v>
      </c>
      <c r="AF37" t="s">
        <v>69</v>
      </c>
      <c r="AH37" t="s">
        <v>69</v>
      </c>
      <c r="AI37" t="s">
        <v>69</v>
      </c>
      <c r="AM37">
        <v>1</v>
      </c>
      <c r="AN37" s="2">
        <v>1.2874501437714501</v>
      </c>
      <c r="AR37">
        <v>1.6800000000000002</v>
      </c>
      <c r="AS37">
        <v>0.26</v>
      </c>
      <c r="AT37">
        <v>0.36</v>
      </c>
      <c r="AU37">
        <v>0.14000000000000001</v>
      </c>
      <c r="BB37">
        <v>22.137751405111459</v>
      </c>
      <c r="BD37" s="2">
        <f t="shared" si="0"/>
        <v>8.8551005620445835</v>
      </c>
      <c r="BF37">
        <v>4.28</v>
      </c>
      <c r="BG37">
        <v>7.07</v>
      </c>
      <c r="BH37" s="2">
        <v>13.670864623097938</v>
      </c>
    </row>
    <row r="38" spans="1:60" x14ac:dyDescent="0.25">
      <c r="A38">
        <v>19</v>
      </c>
      <c r="B38">
        <v>-52.710746960000002</v>
      </c>
      <c r="C38">
        <v>-17.683140959999999</v>
      </c>
      <c r="D38" t="s">
        <v>123</v>
      </c>
      <c r="F38" t="s">
        <v>62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440361</v>
      </c>
      <c r="P38">
        <v>1</v>
      </c>
      <c r="Q38">
        <v>1001</v>
      </c>
      <c r="T38">
        <v>275</v>
      </c>
      <c r="V38" t="s">
        <v>66</v>
      </c>
      <c r="W38" t="s">
        <v>67</v>
      </c>
      <c r="X38" t="s">
        <v>124</v>
      </c>
      <c r="Y38">
        <v>37</v>
      </c>
      <c r="AC38" t="s">
        <v>69</v>
      </c>
      <c r="AF38" t="s">
        <v>69</v>
      </c>
      <c r="AH38" t="s">
        <v>69</v>
      </c>
      <c r="AI38" t="s">
        <v>69</v>
      </c>
      <c r="AM38">
        <v>0.38000000000000028</v>
      </c>
      <c r="AN38" s="2">
        <v>3.7825804656339899</v>
      </c>
      <c r="AR38">
        <v>8.74</v>
      </c>
      <c r="AS38">
        <v>0.33</v>
      </c>
      <c r="AT38">
        <v>0.48</v>
      </c>
      <c r="AU38">
        <v>0.43999999999999995</v>
      </c>
      <c r="BB38">
        <v>24.24911613807004</v>
      </c>
      <c r="BD38" s="2">
        <f t="shared" si="0"/>
        <v>9.6996464552280166</v>
      </c>
      <c r="BF38">
        <v>4.0999999999999996</v>
      </c>
      <c r="BG38">
        <v>6.33</v>
      </c>
      <c r="BH38" s="2">
        <v>29.814799519801561</v>
      </c>
    </row>
    <row r="39" spans="1:60" x14ac:dyDescent="0.25">
      <c r="A39">
        <v>19</v>
      </c>
      <c r="B39">
        <v>-52.710746960000002</v>
      </c>
      <c r="C39">
        <v>-17.683140959999999</v>
      </c>
      <c r="D39" t="s">
        <v>123</v>
      </c>
      <c r="F39" t="s">
        <v>62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440361</v>
      </c>
      <c r="P39">
        <v>1</v>
      </c>
      <c r="Q39">
        <v>1001</v>
      </c>
      <c r="T39">
        <v>275</v>
      </c>
      <c r="V39" t="s">
        <v>70</v>
      </c>
      <c r="W39" t="s">
        <v>67</v>
      </c>
      <c r="X39" t="s">
        <v>125</v>
      </c>
      <c r="Y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0.66000000000000014</v>
      </c>
      <c r="AN39" s="2">
        <v>10.103577281019099</v>
      </c>
      <c r="AR39">
        <v>7.7700000000000005</v>
      </c>
      <c r="AS39">
        <v>0.32</v>
      </c>
      <c r="AT39">
        <v>0.42999999999999994</v>
      </c>
      <c r="AU39">
        <v>0.4</v>
      </c>
      <c r="BB39">
        <v>26.133475178007501</v>
      </c>
      <c r="BD39" s="2">
        <f t="shared" si="0"/>
        <v>10.453390071203001</v>
      </c>
      <c r="BF39">
        <v>4.09</v>
      </c>
      <c r="BG39">
        <v>6.4</v>
      </c>
      <c r="BH39" s="2">
        <v>27.694834022384661</v>
      </c>
    </row>
    <row r="40" spans="1:60" x14ac:dyDescent="0.25">
      <c r="A40">
        <v>20</v>
      </c>
      <c r="B40">
        <v>-52.705474170000002</v>
      </c>
      <c r="C40">
        <v>-17.685126589999999</v>
      </c>
      <c r="D40" t="s">
        <v>126</v>
      </c>
      <c r="F40" t="s">
        <v>62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440361</v>
      </c>
      <c r="P40">
        <v>1</v>
      </c>
      <c r="Q40">
        <v>1001</v>
      </c>
      <c r="T40">
        <v>276</v>
      </c>
      <c r="V40" t="s">
        <v>66</v>
      </c>
      <c r="W40" t="s">
        <v>67</v>
      </c>
      <c r="X40" t="s">
        <v>127</v>
      </c>
      <c r="Y40">
        <v>39</v>
      </c>
      <c r="AC40" t="s">
        <v>69</v>
      </c>
      <c r="AE40" t="s">
        <v>69</v>
      </c>
      <c r="AF40" t="s">
        <v>69</v>
      </c>
      <c r="AH40" t="s">
        <v>69</v>
      </c>
      <c r="AI40" t="s">
        <v>69</v>
      </c>
      <c r="AM40">
        <v>0.74000000000000021</v>
      </c>
      <c r="AN40" s="2">
        <v>1.62013418668646</v>
      </c>
      <c r="AR40">
        <v>4.09</v>
      </c>
      <c r="AS40">
        <v>0.55999999999999983</v>
      </c>
      <c r="AT40">
        <v>0.38</v>
      </c>
      <c r="AU40">
        <v>0.48</v>
      </c>
      <c r="BB40">
        <v>31.01434507260976</v>
      </c>
      <c r="BC40" s="2">
        <v>6.2935170881960598</v>
      </c>
      <c r="BD40" s="2">
        <f t="shared" si="0"/>
        <v>12.405738029043905</v>
      </c>
      <c r="BF40">
        <v>4.1399999999999997</v>
      </c>
      <c r="BG40">
        <v>6.66</v>
      </c>
      <c r="BH40" s="2">
        <v>21.058070817732769</v>
      </c>
    </row>
    <row r="41" spans="1:60" x14ac:dyDescent="0.25">
      <c r="A41">
        <v>20</v>
      </c>
      <c r="B41">
        <v>-52.705474170000002</v>
      </c>
      <c r="C41">
        <v>-17.685126589999999</v>
      </c>
      <c r="D41" t="s">
        <v>126</v>
      </c>
      <c r="F41" t="s">
        <v>62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440361</v>
      </c>
      <c r="P41">
        <v>1</v>
      </c>
      <c r="Q41">
        <v>1001</v>
      </c>
      <c r="T41">
        <v>276</v>
      </c>
      <c r="V41" t="s">
        <v>70</v>
      </c>
      <c r="W41" t="s">
        <v>67</v>
      </c>
      <c r="X41" t="s">
        <v>128</v>
      </c>
      <c r="Y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0.67000000000000037</v>
      </c>
      <c r="AN41" s="2">
        <v>1.2874501437714501</v>
      </c>
      <c r="AR41">
        <v>4.32</v>
      </c>
      <c r="AS41">
        <v>0.37000000000000011</v>
      </c>
      <c r="AT41">
        <v>0.27</v>
      </c>
      <c r="AU41">
        <v>0.3</v>
      </c>
      <c r="BB41">
        <v>27.957714339104371</v>
      </c>
      <c r="BD41" s="2">
        <f t="shared" si="0"/>
        <v>11.183085735641749</v>
      </c>
      <c r="BF41">
        <v>4.1500000000000004</v>
      </c>
      <c r="BG41">
        <v>6.65</v>
      </c>
      <c r="BH41" s="2">
        <v>21.281132848400475</v>
      </c>
    </row>
    <row r="42" spans="1:60" x14ac:dyDescent="0.25">
      <c r="A42">
        <v>21</v>
      </c>
      <c r="B42">
        <v>-52.709083280000002</v>
      </c>
      <c r="C42">
        <v>-17.69031039</v>
      </c>
      <c r="D42" t="s">
        <v>129</v>
      </c>
      <c r="F42" t="s">
        <v>62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440361</v>
      </c>
      <c r="P42">
        <v>1</v>
      </c>
      <c r="Q42">
        <v>1001</v>
      </c>
      <c r="T42">
        <v>277</v>
      </c>
      <c r="V42" t="s">
        <v>66</v>
      </c>
      <c r="W42" t="s">
        <v>67</v>
      </c>
      <c r="X42" t="s">
        <v>130</v>
      </c>
      <c r="Y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0.64000000000000012</v>
      </c>
      <c r="AN42" s="2">
        <v>0.123055993568935</v>
      </c>
      <c r="AR42">
        <v>6.24</v>
      </c>
      <c r="AS42">
        <v>0.54999999999999993</v>
      </c>
      <c r="AT42">
        <v>0.56000000000000005</v>
      </c>
      <c r="AU42">
        <v>0.49</v>
      </c>
      <c r="BB42">
        <v>27.89291786327091</v>
      </c>
      <c r="BC42" s="2">
        <v>6.8366888991039003</v>
      </c>
      <c r="BD42" s="2">
        <f t="shared" si="0"/>
        <v>11.157167145308364</v>
      </c>
      <c r="BF42">
        <v>4.1399999999999997</v>
      </c>
      <c r="BG42">
        <v>6.54</v>
      </c>
      <c r="BH42" s="2">
        <v>23.896401874355661</v>
      </c>
    </row>
    <row r="43" spans="1:60" x14ac:dyDescent="0.25">
      <c r="A43">
        <v>21</v>
      </c>
      <c r="B43">
        <v>-52.709083280000002</v>
      </c>
      <c r="C43">
        <v>-17.69031039</v>
      </c>
      <c r="D43" t="s">
        <v>129</v>
      </c>
      <c r="F43" t="s">
        <v>62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440361</v>
      </c>
      <c r="P43">
        <v>1</v>
      </c>
      <c r="Q43">
        <v>1001</v>
      </c>
      <c r="T43">
        <v>277</v>
      </c>
      <c r="V43" t="s">
        <v>70</v>
      </c>
      <c r="W43" t="s">
        <v>67</v>
      </c>
      <c r="X43" t="s">
        <v>131</v>
      </c>
      <c r="Y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0.7200000000000002</v>
      </c>
      <c r="AN43" s="2">
        <v>0.78842407939894399</v>
      </c>
      <c r="AR43">
        <v>6.6800000000000006</v>
      </c>
      <c r="AS43">
        <v>0.42000000000000004</v>
      </c>
      <c r="AT43">
        <v>0.48</v>
      </c>
      <c r="AU43">
        <v>0.36</v>
      </c>
      <c r="BB43">
        <v>31.01875619632612</v>
      </c>
      <c r="BD43" s="2">
        <f t="shared" si="0"/>
        <v>12.407502478530448</v>
      </c>
      <c r="BF43">
        <v>4.13</v>
      </c>
      <c r="BG43">
        <v>6.49</v>
      </c>
      <c r="BH43" s="2">
        <v>25.189138719482326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Vitor Ribeiro</cp:lastModifiedBy>
  <cp:revision>1</cp:revision>
  <dcterms:created xsi:type="dcterms:W3CDTF">2026-06-16T11:13:58Z</dcterms:created>
  <dcterms:modified xsi:type="dcterms:W3CDTF">2026-06-26T20:16:35Z</dcterms:modified>
  <dc:language>pt-BR</dc:language>
</cp:coreProperties>
</file>