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12\FERTILIDADE\"/>
    </mc:Choice>
  </mc:AlternateContent>
  <xr:revisionPtr revIDLastSave="0" documentId="13_ncr:1_{BBECAB5F-B8DE-402B-823F-A1EDBCECEAE3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01) Química - Básica" sheetId="1" r:id="rId1"/>
    <sheet name="02) Referências" sheetId="2" r:id="rId2"/>
  </sheets>
  <definedNames>
    <definedName name="_xlnm._FilterDatabase" localSheetId="0" hidden="1">'01) Química - Básica'!$A$1:$BK$171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2" i="1"/>
</calcChain>
</file>

<file path=xl/sharedStrings.xml><?xml version="1.0" encoding="utf-8"?>
<sst xmlns="http://schemas.openxmlformats.org/spreadsheetml/2006/main" count="2186" uniqueCount="342">
  <si>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</si>
  <si>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</si>
  <si>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</si>
  <si>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</si>
  <si>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</si>
  <si>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</si>
  <si>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</si>
  <si>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</si>
  <si>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</si>
  <si>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</si>
  <si>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</si>
  <si>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</si>
  <si>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</si>
  <si>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</si>
  <si>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</si>
  <si>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</si>
  <si>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</si>
  <si>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</si>
  <si>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</si>
  <si>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</si>
  <si>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</si>
  <si>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</si>
  <si>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</si>
  <si>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</si>
  <si>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</si>
  <si>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</si>
  <si>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</si>
  <si>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</si>
  <si>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</si>
  <si>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</si>
  <si>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</si>
  <si>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</si>
  <si>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</si>
  <si>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</si>
  <si>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</si>
  <si>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</si>
  <si>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</si>
  <si>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</si>
  <si>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</si>
  <si>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</si>
  <si>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</si>
  <si>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</si>
  <si>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</si>
  <si>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</si>
  <si>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</si>
  <si>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</si>
  <si>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</si>
  <si>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</si>
  <si>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</si>
  <si>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</si>
  <si>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</si>
  <si>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</si>
  <si>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</si>
  <si>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</si>
  <si>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</si>
  <si>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</si>
  <si>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</si>
  <si>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</si>
  <si>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</si>
  <si>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</si>
  <si>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</si>
  <si>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5/20/202615:50:00</t>
  </si>
  <si>
    <t>MINEIROS</t>
  </si>
  <si>
    <t>GO</t>
  </si>
  <si>
    <t>UAE_FERTILIDADE</t>
  </si>
  <si>
    <t>UAE</t>
  </si>
  <si>
    <t>00-25</t>
  </si>
  <si>
    <t>Fertilidade</t>
  </si>
  <si>
    <t>ASP26009600000264A11S260291</t>
  </si>
  <si>
    <t>X</t>
  </si>
  <si>
    <t>25-50</t>
  </si>
  <si>
    <t>ASP26009600000264A11S260292</t>
  </si>
  <si>
    <t>6/9/202615:00:00</t>
  </si>
  <si>
    <t>ASP26009600000264A11S260390</t>
  </si>
  <si>
    <t>ASP26009600000264A11S260393</t>
  </si>
  <si>
    <t>6/9/202615:17:00</t>
  </si>
  <si>
    <t>ASP26009600000264A11S260395</t>
  </si>
  <si>
    <t>ASP26009600000264A11S260394</t>
  </si>
  <si>
    <t>6/9/202616:02:00</t>
  </si>
  <si>
    <t>ASP26009600000264A11S260399</t>
  </si>
  <si>
    <t>ASP26009600000264A11S260398</t>
  </si>
  <si>
    <t>6/9/202612:26:00</t>
  </si>
  <si>
    <t>ASP26009600000264A11S260381</t>
  </si>
  <si>
    <t>ASP26009600000264A11S260380</t>
  </si>
  <si>
    <t>6/9/202614:35:00</t>
  </si>
  <si>
    <t>ASP26009600000264A11S260392</t>
  </si>
  <si>
    <t>ASP26009600000264A11S260391</t>
  </si>
  <si>
    <t>6/9/202615:39:00</t>
  </si>
  <si>
    <t>ASP26009600000264A11S260397</t>
  </si>
  <si>
    <t>ASP26009600000264A11S260396</t>
  </si>
  <si>
    <t>6/9/202612:45:00</t>
  </si>
  <si>
    <t>ASP26009600000264A11S260383</t>
  </si>
  <si>
    <t>ASP26009600000264A11S260382</t>
  </si>
  <si>
    <t>6/9/202614:12:00</t>
  </si>
  <si>
    <t>ASP26009600000264A11S260389</t>
  </si>
  <si>
    <t>ASP26009600000264A11S260387</t>
  </si>
  <si>
    <t>6/9/202613:03:00</t>
  </si>
  <si>
    <t>ASP26009600000264A11S260385</t>
  </si>
  <si>
    <t>ASP26009600000264A11S260386</t>
  </si>
  <si>
    <t>6/9/202613:24:00</t>
  </si>
  <si>
    <t>ASP26009600000264A11S260388</t>
  </si>
  <si>
    <t>ASP26009600000264A11S260384</t>
  </si>
  <si>
    <t>6/10/202613:52:00</t>
  </si>
  <si>
    <t>ASP26009600000264A11S260365</t>
  </si>
  <si>
    <t>ASP26009600000264A11S260413</t>
  </si>
  <si>
    <t>6/10/202614:20:00</t>
  </si>
  <si>
    <t>ASP26009600000264A11S260422</t>
  </si>
  <si>
    <t>ASP26009600000264A11S260423</t>
  </si>
  <si>
    <t>6/10/202613:12:00</t>
  </si>
  <si>
    <t>ASP26009600000264A11S260416</t>
  </si>
  <si>
    <t>ASP26009600000264A11S260417</t>
  </si>
  <si>
    <t>6/10/202613:29:00</t>
  </si>
  <si>
    <t>ASP26009600000264A11S260414</t>
  </si>
  <si>
    <t>ASP26009600000264A11S260415</t>
  </si>
  <si>
    <t>6/10/202612:46:00</t>
  </si>
  <si>
    <t>ASP26009600000264A11S260418</t>
  </si>
  <si>
    <t>ASP26009600000264A11S260419</t>
  </si>
  <si>
    <t>6/10/202612:26:00</t>
  </si>
  <si>
    <t>ASP26009600000264A11S260420</t>
  </si>
  <si>
    <t>ASP26009600000264A11S260421</t>
  </si>
  <si>
    <t>6/10/202612:10:00</t>
  </si>
  <si>
    <t>ASP26009600000264A11S260360</t>
  </si>
  <si>
    <t>ASP26009600000264A11S260350</t>
  </si>
  <si>
    <t>6/8/202615:38:00</t>
  </si>
  <si>
    <t>ASP26009600000264A11S260379</t>
  </si>
  <si>
    <t>ASP26009600000264A11S260378</t>
  </si>
  <si>
    <t>6/8/202615:23:00</t>
  </si>
  <si>
    <t>ASP26009600000264A11S260377</t>
  </si>
  <si>
    <t>ASP26009600000264A11S260375</t>
  </si>
  <si>
    <t>6/8/202614:50:00</t>
  </si>
  <si>
    <t>ASP26009600000264A11S260373</t>
  </si>
  <si>
    <t>ASP26009600000264A11S260372</t>
  </si>
  <si>
    <t>6/8/202615:04:00</t>
  </si>
  <si>
    <t>ASP26009600000264A11S260374</t>
  </si>
  <si>
    <t>ASP26009600000264A11S260376</t>
  </si>
  <si>
    <t>6/8/202614:24:00</t>
  </si>
  <si>
    <t>ASP26009600000264A11S260371</t>
  </si>
  <si>
    <t>ASP26009600000264A11S260370</t>
  </si>
  <si>
    <t>6/8/202614:08:00</t>
  </si>
  <si>
    <t>ASP26009600000264A11S260368</t>
  </si>
  <si>
    <t>ASP26009600000264A11S260369</t>
  </si>
  <si>
    <t>6/8/202613:22:00</t>
  </si>
  <si>
    <t>ASP26009600000264A11S260364</t>
  </si>
  <si>
    <t>ASP26009600000264A11S260363</t>
  </si>
  <si>
    <t>6/8/202613:39:00</t>
  </si>
  <si>
    <t>ASP26009600000264A11S260367</t>
  </si>
  <si>
    <t>ASP26009600000264A11S260366</t>
  </si>
  <si>
    <t>6/8/202612:43:00</t>
  </si>
  <si>
    <t>ASP26009600000264A11S260362</t>
  </si>
  <si>
    <t>ASP26009600000264A11S260361</t>
  </si>
  <si>
    <t>6/4/202614:11:00</t>
  </si>
  <si>
    <t>ASP26009600000264A11S260309</t>
  </si>
  <si>
    <t>ASP26009600000264A11S260310</t>
  </si>
  <si>
    <t>6/6/202612:03:00</t>
  </si>
  <si>
    <t>ASP26009600000264A11S260351</t>
  </si>
  <si>
    <t>ASP26009600000264A11S260352</t>
  </si>
  <si>
    <t>6/4/202615:33:00</t>
  </si>
  <si>
    <t>ASP26009600000264A11S260327</t>
  </si>
  <si>
    <t>ASP26009600000264A11S260328</t>
  </si>
  <si>
    <t>6/4/202615:16:00</t>
  </si>
  <si>
    <t>ASP26009600000264A11S260326</t>
  </si>
  <si>
    <t>ASP26009600000264A11S260303</t>
  </si>
  <si>
    <t>6/4/202614:42:00</t>
  </si>
  <si>
    <t>ASP26009600000264A11S260307</t>
  </si>
  <si>
    <t>ASP26009600000264A11S260308</t>
  </si>
  <si>
    <t>6/4/202614:58:00</t>
  </si>
  <si>
    <t>ASP26009600000264A11S260305</t>
  </si>
  <si>
    <t>ASP26009600000264A11S260306</t>
  </si>
  <si>
    <t>6/5/202616:26:00</t>
  </si>
  <si>
    <t>ASP26009600000264A11S260356</t>
  </si>
  <si>
    <t>ASP26009600000264A11S260355</t>
  </si>
  <si>
    <t>6/5/202615:38:00</t>
  </si>
  <si>
    <t>ASP26009600000264A11S260359</t>
  </si>
  <si>
    <t>ASP26009600000264A11S260346</t>
  </si>
  <si>
    <t>6/5/202616:04:00</t>
  </si>
  <si>
    <t>ASP26009600000264A11S260357</t>
  </si>
  <si>
    <t>ASP26009600000264A11S260358</t>
  </si>
  <si>
    <t>6/5/202616:46:00</t>
  </si>
  <si>
    <t>ASP26009600000264A11S260353</t>
  </si>
  <si>
    <t>ASP26009600000264A11S260354</t>
  </si>
  <si>
    <t>6/5/202615:17:00</t>
  </si>
  <si>
    <t>ASP26009600000264A11S260347</t>
  </si>
  <si>
    <t>ASP26009600000264A11S260349</t>
  </si>
  <si>
    <t>6/5/202614:44:00</t>
  </si>
  <si>
    <t>ASP26009600000264A11S260339</t>
  </si>
  <si>
    <t>ASP26009600000264A11S260348</t>
  </si>
  <si>
    <t>6/5/202614:32:00</t>
  </si>
  <si>
    <t>ASP26009600000264A11S260340</t>
  </si>
  <si>
    <t>ASP26009600000264A11S260341</t>
  </si>
  <si>
    <t>6/5/202613:51:00</t>
  </si>
  <si>
    <t>ASP26009600000264A11S260342</t>
  </si>
  <si>
    <t>ASP26009600000264A11S260343</t>
  </si>
  <si>
    <t>6/5/202613:32:00</t>
  </si>
  <si>
    <t>ASP26009600000264A11S260345</t>
  </si>
  <si>
    <t>ASP26009600000264A11S260338</t>
  </si>
  <si>
    <t>6/5/202612:41:00</t>
  </si>
  <si>
    <t>ASP26009600000264A11S260329</t>
  </si>
  <si>
    <t>ASP26009600000264A11S260330</t>
  </si>
  <si>
    <t>6/6/202612:42:00</t>
  </si>
  <si>
    <t>ASP26009600000264A11S260752</t>
  </si>
  <si>
    <t>ASP26009600000264A11S260751</t>
  </si>
  <si>
    <t>6/5/202613:15:00</t>
  </si>
  <si>
    <t>ASP26009600000264A11S260335</t>
  </si>
  <si>
    <t>ASP26009600000264A11S260336</t>
  </si>
  <si>
    <t>6/5/202612:58:00</t>
  </si>
  <si>
    <t>ASP26009600000264A11S260304</t>
  </si>
  <si>
    <t>ASP26009600000264A11S260337</t>
  </si>
  <si>
    <t>5/28/202613:02:00</t>
  </si>
  <si>
    <t>ASP26009600000264A11S260287</t>
  </si>
  <si>
    <t>ASP26009600000264A11S260288</t>
  </si>
  <si>
    <t>5/28/202613:17:00</t>
  </si>
  <si>
    <t>ASP26009600000264A11S260284</t>
  </si>
  <si>
    <t>ASP26009600000264A11S260285</t>
  </si>
  <si>
    <t>5/28/202613:39:00</t>
  </si>
  <si>
    <t>ASP26009600000264A11S260282</t>
  </si>
  <si>
    <t>ASP26009600000264A11S260283</t>
  </si>
  <si>
    <t>5/28/202612:13:00</t>
  </si>
  <si>
    <t>ASP26009600000264A11S260289</t>
  </si>
  <si>
    <t>ASP26009600000264A11S260290</t>
  </si>
  <si>
    <t>5/29/202613:56:00</t>
  </si>
  <si>
    <t>ASP26009600000264A11S260281</t>
  </si>
  <si>
    <t>ASP26009600000264A11S260280</t>
  </si>
  <si>
    <t>5/27/202613:11:00</t>
  </si>
  <si>
    <t>ASP26009600000264A11S260295</t>
  </si>
  <si>
    <t>ASP26009600000264A11S260296</t>
  </si>
  <si>
    <t>5/27/202612:53:00</t>
  </si>
  <si>
    <t>ASP26009600000264A11S260297</t>
  </si>
  <si>
    <t>ASP26009600000264A11S260298</t>
  </si>
  <si>
    <t>5/27/202613:48:00</t>
  </si>
  <si>
    <t>ASP26009600000264A11S260294</t>
  </si>
  <si>
    <t>ASP26009600000264A11S260293</t>
  </si>
  <si>
    <t>5/27/202612:35:00</t>
  </si>
  <si>
    <t>ASP26009600000264A11S260300</t>
  </si>
  <si>
    <t>ASP26009600000264A11S260299</t>
  </si>
  <si>
    <t>5/26/202615:59:00</t>
  </si>
  <si>
    <t>ASP26009600000264A11S260247</t>
  </si>
  <si>
    <t>ASP26009600000264A11S260253</t>
  </si>
  <si>
    <t>5/27/202612:21:00</t>
  </si>
  <si>
    <t>ASP26009600000264A11S260301</t>
  </si>
  <si>
    <t>ASP26009600000264A11S260302</t>
  </si>
  <si>
    <t>5/26/202615:42:00</t>
  </si>
  <si>
    <t>ASP26009600000264A11S260254</t>
  </si>
  <si>
    <t>ASP26009600000264A11S260252</t>
  </si>
  <si>
    <t>5/27/202612:01:00</t>
  </si>
  <si>
    <t>ASP26009600000264A11S260248</t>
  </si>
  <si>
    <t>ASP26009600000264A11S260286</t>
  </si>
  <si>
    <t>5/26/202615:20:00</t>
  </si>
  <si>
    <t>ASP26009600000264A11S260251</t>
  </si>
  <si>
    <t>ASP26009600000264A11S260250</t>
  </si>
  <si>
    <t>5/26/202615:01:00</t>
  </si>
  <si>
    <t>ASP26009600000264A11S260256</t>
  </si>
  <si>
    <t>ASP26009600000264A11S260255</t>
  </si>
  <si>
    <t>5/26/202614:37:00</t>
  </si>
  <si>
    <t>ASP26009600000264A11S260259</t>
  </si>
  <si>
    <t>ASP26009600000264A11S260258</t>
  </si>
  <si>
    <t>5/26/202614:17:00</t>
  </si>
  <si>
    <t>ASP26009600000264A11S260257</t>
  </si>
  <si>
    <t>ASP26009600000264A11S260262</t>
  </si>
  <si>
    <t>5/26/202613:55:00</t>
  </si>
  <si>
    <t>ASP26009600000264A11S260261</t>
  </si>
  <si>
    <t>ASP26009600000264A11S260272</t>
  </si>
  <si>
    <t>5/26/202613:28:00</t>
  </si>
  <si>
    <t>ASP26009600000264A11S260271</t>
  </si>
  <si>
    <t>ASP26009600000264A11S260270</t>
  </si>
  <si>
    <t>5/26/202613:12:00</t>
  </si>
  <si>
    <t>ASP26009600000264A11S260266</t>
  </si>
  <si>
    <t>ASP26009600000264A11S260269</t>
  </si>
  <si>
    <t>5/26/202612:56:00</t>
  </si>
  <si>
    <t>ASP26009600000264A11S260268</t>
  </si>
  <si>
    <t>ASP26009600000264A11S260267</t>
  </si>
  <si>
    <t>5/26/202612:37:00</t>
  </si>
  <si>
    <t>ASP26009600000264A11S260265</t>
  </si>
  <si>
    <t>ASP26009600000264A11S260264</t>
  </si>
  <si>
    <t>5/26/202612:21:00</t>
  </si>
  <si>
    <t>ASP26009600000264A11S260263</t>
  </si>
  <si>
    <t>ASP26009600000264A11S260260</t>
  </si>
  <si>
    <t>6/4/202614:00:00</t>
  </si>
  <si>
    <t>ASP26009600000264A11S260311</t>
  </si>
  <si>
    <t>ASP26009600000264A11S260312</t>
  </si>
  <si>
    <t>6/4/202613:45:00</t>
  </si>
  <si>
    <t>ASP26009600000264A11S260313</t>
  </si>
  <si>
    <t>ASP26009600000264A11S260314</t>
  </si>
  <si>
    <t>6/4/202613:20:00</t>
  </si>
  <si>
    <t>ASP26009600000264A11S260316</t>
  </si>
  <si>
    <t>ASP26009600000264A11S260315</t>
  </si>
  <si>
    <t>6/4/202612:57:00</t>
  </si>
  <si>
    <t>ASP26009600000264A11S260317</t>
  </si>
  <si>
    <t>ASP26009600000264A11S260318</t>
  </si>
  <si>
    <t>6/4/202612:39:00</t>
  </si>
  <si>
    <t>ASP26009600000264A11S260320</t>
  </si>
  <si>
    <t>ASP26009600000264A11S260319</t>
  </si>
  <si>
    <t>6/4/202612:25:00</t>
  </si>
  <si>
    <t>ASP26009600000264A11S260324</t>
  </si>
  <si>
    <t>ASP26009600000264A11S260321</t>
  </si>
  <si>
    <t>6/4/202612:08:00</t>
  </si>
  <si>
    <t>ASP26009600000264A11S260323</t>
  </si>
  <si>
    <t>ASP26009600000264A11S260322</t>
  </si>
  <si>
    <t>6/3/202614:28:00</t>
  </si>
  <si>
    <t>ASP26009600000264A11S260278</t>
  </si>
  <si>
    <t>ASP26009600000264A11S260277</t>
  </si>
  <si>
    <t>6/3/202614:50:00</t>
  </si>
  <si>
    <t>ASP26009600000264A11S260276</t>
  </si>
  <si>
    <t>ASP26009600000264A11S260275</t>
  </si>
  <si>
    <t>6/3/202615:06:00</t>
  </si>
  <si>
    <t>ASP26009600000264A11S260274</t>
  </si>
  <si>
    <t>ASP26009600000264A11S260235</t>
  </si>
  <si>
    <t>6/3/202615:27:00</t>
  </si>
  <si>
    <t>ASP26009600000264A11S260236</t>
  </si>
  <si>
    <t>ASP26009600000264A11S260238</t>
  </si>
  <si>
    <t>6/3/202615:40:00</t>
  </si>
  <si>
    <t>ASP26009600000264A11S260249</t>
  </si>
  <si>
    <t>ASP26009600000264A11S260237</t>
  </si>
  <si>
    <t>6/3/202614:09:00</t>
  </si>
  <si>
    <t>ASP26009600000264A11S260333</t>
  </si>
  <si>
    <t>ASP26009600000264A11S260344</t>
  </si>
  <si>
    <t>6/3/202612:48:00</t>
  </si>
  <si>
    <t>ASP26009600000264A11S260273</t>
  </si>
  <si>
    <t>ASP26009600000264A11S260279</t>
  </si>
  <si>
    <t>6/3/202613:22:00</t>
  </si>
  <si>
    <t>ASP26009600000264A11S260332</t>
  </si>
  <si>
    <t>ASP26009600000264A11S260331</t>
  </si>
  <si>
    <t>6/3/202613:44:00</t>
  </si>
  <si>
    <t>ASP26009600000264A11S260325</t>
  </si>
  <si>
    <t>ASP26009600000264A11S260334</t>
  </si>
  <si>
    <t>MO_LIBS</t>
  </si>
  <si>
    <t>MO_REF</t>
  </si>
  <si>
    <t>Metodologias de referência para calibração do sistema AGLIBS</t>
  </si>
  <si>
    <t>Referência</t>
  </si>
  <si>
    <r>
      <t>Textura</t>
    </r>
    <r>
      <rPr>
        <sz val="12"/>
        <color rgb="FF000000"/>
        <rFont val="Aptos Narrow"/>
        <family val="2"/>
        <scheme val="minor"/>
      </rPr>
      <t xml:space="preserve"> - Dispersa em solução de Hexametafosfato de Sódio por método da pipeta</t>
    </r>
  </si>
  <si>
    <t>Químico</t>
  </si>
  <si>
    <t>Manual de Métodos de Análise de Solo, 2017, 3º ed, Embrapa</t>
  </si>
  <si>
    <r>
      <t xml:space="preserve">pH – </t>
    </r>
    <r>
      <rPr>
        <sz val="12"/>
        <color rgb="FF000000"/>
        <rFont val="Aptos Narrow"/>
        <family val="2"/>
        <scheme val="minor"/>
      </rPr>
      <t>Suspensão em solução de Cloreto de Cálcio (CaCl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Aptos Narrow"/>
        <family val="2"/>
        <scheme val="minor"/>
      </rPr>
      <t>) e leitura com pHmetro</t>
    </r>
  </si>
  <si>
    <t xml:space="preserve">Análise Química para avaliação da fertilidade de solos tropicais, Instituto Agronômico de Campinas, 2001. </t>
  </si>
  <si>
    <r>
      <rPr>
        <b/>
        <sz val="12"/>
        <rFont val="Aptos Narrow"/>
        <family val="2"/>
        <scheme val="minor"/>
      </rPr>
      <t xml:space="preserve">Acidez Total (H+Al) - </t>
    </r>
    <r>
      <rPr>
        <sz val="12"/>
        <rFont val="Aptos Narrow"/>
        <family val="2"/>
        <scheme val="minor"/>
      </rPr>
      <t>Com solução tampão SMP em pH 7,00</t>
    </r>
  </si>
  <si>
    <r>
      <t xml:space="preserve">P </t>
    </r>
    <r>
      <rPr>
        <sz val="12"/>
        <color rgb="FF000000"/>
        <rFont val="Aptos Narrow"/>
        <family val="2"/>
        <scheme val="minor"/>
      </rPr>
      <t xml:space="preserve">- Extraído com resina trocadora de íons </t>
    </r>
  </si>
  <si>
    <r>
      <t xml:space="preserve">S </t>
    </r>
    <r>
      <rPr>
        <sz val="12"/>
        <color rgb="FF000000"/>
        <rFont val="Aptos Narrow"/>
        <family val="2"/>
        <scheme val="minor"/>
      </rPr>
      <t>- Extraído com solução de Fosfato de Cálcio (Ca(H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Aptos Narrow"/>
        <family val="2"/>
        <scheme val="minor"/>
      </rPr>
      <t>PO</t>
    </r>
    <r>
      <rPr>
        <sz val="12"/>
        <color rgb="FF000000"/>
        <rFont val="Aptos Narrow"/>
        <family val="2"/>
      </rPr>
      <t>₄</t>
    </r>
    <r>
      <rPr>
        <sz val="12"/>
        <color rgb="FF000000"/>
        <rFont val="Aptos Narrow"/>
        <family val="2"/>
        <scheme val="minor"/>
      </rPr>
      <t>)</t>
    </r>
    <r>
      <rPr>
        <vertAlign val="subscript"/>
        <sz val="12"/>
        <color rgb="FF000000"/>
        <rFont val="Aptos Narrow"/>
        <family val="2"/>
        <scheme val="minor"/>
      </rPr>
      <t>2</t>
    </r>
    <r>
      <rPr>
        <sz val="12"/>
        <color rgb="FF000000"/>
        <rFont val="Aptos Narrow"/>
        <family val="2"/>
        <scheme val="minor"/>
      </rPr>
      <t>) e determinação por ICP-OES</t>
    </r>
  </si>
  <si>
    <r>
      <t xml:space="preserve">MO – </t>
    </r>
    <r>
      <rPr>
        <sz val="12"/>
        <color rgb="FF000000"/>
        <rFont val="Aptos Narrow"/>
        <family val="2"/>
        <scheme val="minor"/>
      </rPr>
      <t>Extraído com solução de dicromato de sódio em meio ácido</t>
    </r>
  </si>
  <si>
    <r>
      <t>Al, Ca, K, Na, Mg</t>
    </r>
    <r>
      <rPr>
        <sz val="12"/>
        <color rgb="FF000000"/>
        <rFont val="Aptos Narrow"/>
        <family val="2"/>
        <scheme val="minor"/>
      </rPr>
      <t xml:space="preserve"> - Extraído com solução de Cloreto de Amônio</t>
    </r>
    <r>
      <rPr>
        <sz val="12"/>
        <rFont val="Aptos Narrow"/>
        <family val="2"/>
        <scheme val="minor"/>
      </rPr>
      <t xml:space="preserve"> (NH₄Cl) e determinação por ICP-OES</t>
    </r>
  </si>
  <si>
    <r>
      <t>B</t>
    </r>
    <r>
      <rPr>
        <sz val="12"/>
        <color rgb="FF000000"/>
        <rFont val="Aptos Narrow"/>
        <family val="2"/>
        <scheme val="minor"/>
      </rPr>
      <t xml:space="preserve"> – Extraído com água quente</t>
    </r>
    <r>
      <rPr>
        <b/>
        <sz val="12"/>
        <color rgb="FF000000"/>
        <rFont val="Aptos Narrow"/>
        <family val="2"/>
        <scheme val="minor"/>
      </rPr>
      <t xml:space="preserve"> </t>
    </r>
    <r>
      <rPr>
        <sz val="12"/>
        <color rgb="FF000000"/>
        <rFont val="Aptos Narrow"/>
        <family val="2"/>
        <scheme val="minor"/>
      </rPr>
      <t>sob refluxo e determinação por ICP-OES</t>
    </r>
  </si>
  <si>
    <r>
      <t xml:space="preserve">Cu, Fe, Mn, Zn </t>
    </r>
    <r>
      <rPr>
        <sz val="12"/>
        <rFont val="Aptos Narrow"/>
        <family val="2"/>
        <scheme val="minor"/>
      </rPr>
      <t>- Extraído com solução de DTPA e determinação por ICP-OES</t>
    </r>
  </si>
  <si>
    <t>FOR_7.8_01 – Laudo Fertilidade</t>
  </si>
  <si>
    <t>REV_06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</si>
</sst>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</font>
    <font>
      <vertAlign val="subscript"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71"/>
  <sheetViews>
    <sheetView topLeftCell="G1" zoomScaleNormal="100" workbookViewId="0">
      <pane ySplit="1" topLeftCell="A2" activePane="bottomLeft" state="frozen"/>
      <selection activeCell="V1" sqref="V1"/>
      <selection pane="bottomLeft" activeCell="S53" sqref="S53"/>
    </sheetView>
  </sheetViews>
  <sheetFormatPr defaultColWidth="11.5703125" defaultRowHeight="15" x14ac:dyDescent="0.25"/>
  <cols>
    <col min="1" max="1" width="11.28515625" bestFit="1" customWidth="1"/>
    <col min="2" max="3" width="12.7109375" bestFit="1" customWidth="1"/>
    <col min="4" max="4" width="17" bestFit="1" customWidth="1"/>
    <col min="5" max="5" width="17.85546875" bestFit="1" customWidth="1"/>
    <col min="6" max="6" width="14.5703125" bestFit="1" customWidth="1"/>
    <col min="7" max="7" width="8" bestFit="1" customWidth="1"/>
    <col min="8" max="8" width="20.7109375" bestFit="1" customWidth="1"/>
    <col min="9" max="9" width="22.7109375" bestFit="1" customWidth="1"/>
    <col min="10" max="10" width="16.140625" bestFit="1" customWidth="1"/>
    <col min="11" max="11" width="18.28515625" bestFit="1" customWidth="1"/>
    <col min="12" max="12" width="12" bestFit="1" customWidth="1"/>
    <col min="13" max="13" width="13.140625" bestFit="1" customWidth="1"/>
    <col min="14" max="14" width="11" bestFit="1" customWidth="1"/>
    <col min="15" max="15" width="12.85546875" bestFit="1" customWidth="1"/>
    <col min="16" max="16" width="10.28515625" bestFit="1" customWidth="1"/>
    <col min="17" max="17" width="11.42578125" bestFit="1" customWidth="1"/>
    <col min="18" max="18" width="12.5703125" bestFit="1" customWidth="1"/>
    <col min="19" max="19" width="21.140625" bestFit="1" customWidth="1"/>
    <col min="20" max="20" width="10.85546875" bestFit="1" customWidth="1"/>
    <col min="21" max="21" width="21.85546875" bestFit="1" customWidth="1"/>
    <col min="22" max="22" width="17.85546875" bestFit="1" customWidth="1"/>
    <col min="23" max="23" width="16.85546875" bestFit="1" customWidth="1"/>
    <col min="24" max="24" width="29.28515625" bestFit="1" customWidth="1"/>
    <col min="25" max="25" width="8.42578125" bestFit="1" customWidth="1"/>
    <col min="26" max="26" width="15.7109375" bestFit="1" customWidth="1"/>
    <col min="27" max="27" width="9.42578125" bestFit="1" customWidth="1"/>
    <col min="28" max="28" width="17.140625" bestFit="1" customWidth="1"/>
    <col min="29" max="29" width="11.140625" bestFit="1" customWidth="1"/>
    <col min="30" max="30" width="10.7109375" bestFit="1" customWidth="1"/>
    <col min="31" max="31" width="8.85546875" bestFit="1" customWidth="1"/>
    <col min="32" max="32" width="13.85546875" bestFit="1" customWidth="1"/>
    <col min="33" max="33" width="12.7109375" bestFit="1" customWidth="1"/>
    <col min="34" max="34" width="13.5703125" bestFit="1" customWidth="1"/>
    <col min="35" max="35" width="10.42578125" bestFit="1" customWidth="1"/>
    <col min="36" max="36" width="19.85546875" bestFit="1" customWidth="1"/>
    <col min="37" max="37" width="12.28515625" bestFit="1" customWidth="1"/>
    <col min="38" max="38" width="10.7109375" bestFit="1" customWidth="1"/>
    <col min="39" max="39" width="16.42578125" bestFit="1" customWidth="1"/>
    <col min="40" max="40" width="23.28515625" bestFit="1" customWidth="1"/>
    <col min="41" max="41" width="16.5703125" bestFit="1" customWidth="1"/>
    <col min="42" max="42" width="18" bestFit="1" customWidth="1"/>
    <col min="43" max="43" width="16.5703125" bestFit="1" customWidth="1"/>
    <col min="44" max="44" width="20.7109375" bestFit="1" customWidth="1"/>
    <col min="45" max="45" width="21" bestFit="1" customWidth="1"/>
    <col min="46" max="46" width="20" bestFit="1" customWidth="1"/>
    <col min="47" max="47" width="21.85546875" bestFit="1" customWidth="1"/>
    <col min="48" max="48" width="21.28515625" bestFit="1" customWidth="1"/>
    <col min="49" max="49" width="16.5703125" bestFit="1" customWidth="1"/>
    <col min="50" max="50" width="17.85546875" bestFit="1" customWidth="1"/>
    <col min="51" max="51" width="17.7109375" bestFit="1" customWidth="1"/>
    <col min="52" max="52" width="18.5703125" bestFit="1" customWidth="1"/>
    <col min="53" max="53" width="17.7109375" bestFit="1" customWidth="1"/>
    <col min="54" max="54" width="9.140625"/>
    <col min="55" max="55" width="17" bestFit="1" customWidth="1"/>
    <col min="56" max="56" width="17" customWidth="1"/>
    <col min="57" max="57" width="12.140625" bestFit="1" customWidth="1"/>
    <col min="58" max="58" width="13.28515625" bestFit="1" customWidth="1"/>
    <col min="59" max="59" width="12.42578125" bestFit="1" customWidth="1"/>
    <col min="60" max="60" width="23.140625" bestFit="1" customWidth="1"/>
    <col min="61" max="61" width="16.5703125" bestFit="1" customWidth="1"/>
    <col min="62" max="62" width="17" bestFit="1" customWidth="1"/>
    <col min="63" max="63" width="15.8554687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t="s">
        <v>324</v>
      </c>
      <c r="BC1" s="1" t="s">
        <v>325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 x14ac:dyDescent="0.25">
      <c r="A2">
        <v>1</v>
      </c>
      <c r="B2">
        <v>-52.719618269999998</v>
      </c>
      <c r="C2">
        <v>-17.734927519999999</v>
      </c>
      <c r="D2" t="s">
        <v>61</v>
      </c>
      <c r="E2" s="3">
        <v>46203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440364</v>
      </c>
      <c r="P2">
        <v>1</v>
      </c>
      <c r="Q2">
        <v>2</v>
      </c>
      <c r="T2">
        <v>165</v>
      </c>
      <c r="V2" t="s">
        <v>66</v>
      </c>
      <c r="W2" t="s">
        <v>67</v>
      </c>
      <c r="X2" t="s">
        <v>68</v>
      </c>
      <c r="Y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0.62999999999999989</v>
      </c>
      <c r="AN2" s="2">
        <v>0.12305599356893482</v>
      </c>
      <c r="AR2">
        <v>2.7</v>
      </c>
      <c r="AS2">
        <v>2</v>
      </c>
      <c r="AT2">
        <v>0.38000000000000012</v>
      </c>
      <c r="AU2">
        <v>1.0900000000000001</v>
      </c>
      <c r="BB2">
        <v>32.845821732935491</v>
      </c>
      <c r="BC2" s="2">
        <v>13.354750629998</v>
      </c>
      <c r="BD2" s="2">
        <f>IF(BC2&lt;&gt;0,BC2,BB2-10)</f>
        <v>13.354750629998</v>
      </c>
      <c r="BF2">
        <v>4.18</v>
      </c>
      <c r="BG2">
        <v>6.46</v>
      </c>
      <c r="BH2" s="2">
        <v>25.998111438789568</v>
      </c>
    </row>
    <row r="3" spans="1:63" x14ac:dyDescent="0.25">
      <c r="A3">
        <v>1</v>
      </c>
      <c r="B3">
        <v>-52.719618269999998</v>
      </c>
      <c r="C3">
        <v>-17.734927519999999</v>
      </c>
      <c r="D3" t="s">
        <v>61</v>
      </c>
      <c r="E3" s="3">
        <v>46203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440364</v>
      </c>
      <c r="P3">
        <v>1</v>
      </c>
      <c r="Q3">
        <v>2</v>
      </c>
      <c r="T3">
        <v>165</v>
      </c>
      <c r="V3" t="s">
        <v>70</v>
      </c>
      <c r="W3" t="s">
        <v>67</v>
      </c>
      <c r="X3" t="s">
        <v>71</v>
      </c>
      <c r="Y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0.43999999999999989</v>
      </c>
      <c r="AN3" s="2">
        <v>-0.37597007080357236</v>
      </c>
      <c r="AR3">
        <v>2.8000000000000003</v>
      </c>
      <c r="AS3">
        <v>1.44</v>
      </c>
      <c r="AT3">
        <v>0.29000000000000004</v>
      </c>
      <c r="AU3">
        <v>0.81999999999999984</v>
      </c>
      <c r="BB3">
        <v>28.073034656410812</v>
      </c>
      <c r="BC3" s="2">
        <v>12.0873497378797</v>
      </c>
      <c r="BD3" s="2">
        <f t="shared" ref="BD3:BD66" si="0">IF(BC3&lt;&gt;0,BC3,BB3-10)</f>
        <v>12.0873497378797</v>
      </c>
      <c r="BF3">
        <v>4.17</v>
      </c>
      <c r="BG3">
        <v>6.52</v>
      </c>
      <c r="BH3" s="2">
        <v>24.405338477111524</v>
      </c>
    </row>
    <row r="4" spans="1:63" x14ac:dyDescent="0.25">
      <c r="A4">
        <v>2</v>
      </c>
      <c r="B4">
        <v>-52.628109219999999</v>
      </c>
      <c r="C4">
        <v>-17.742866889999998</v>
      </c>
      <c r="D4" t="s">
        <v>72</v>
      </c>
      <c r="E4" s="3">
        <v>46203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440358</v>
      </c>
      <c r="P4">
        <v>1</v>
      </c>
      <c r="Q4">
        <v>1001</v>
      </c>
      <c r="T4">
        <v>189</v>
      </c>
      <c r="V4" t="s">
        <v>66</v>
      </c>
      <c r="W4" t="s">
        <v>67</v>
      </c>
      <c r="X4" t="s">
        <v>73</v>
      </c>
      <c r="Y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0.62000000000000011</v>
      </c>
      <c r="AN4" s="2">
        <v>-4.3286027888567565E-2</v>
      </c>
      <c r="AR4">
        <v>2.68</v>
      </c>
      <c r="AS4">
        <v>1.08</v>
      </c>
      <c r="AT4">
        <v>0.59000000000000008</v>
      </c>
      <c r="AU4">
        <v>1.07</v>
      </c>
      <c r="BB4">
        <v>23.378799263107791</v>
      </c>
      <c r="BC4" s="2">
        <v>12.630521548787501</v>
      </c>
      <c r="BD4" s="2">
        <f t="shared" si="0"/>
        <v>12.630521548787501</v>
      </c>
      <c r="BF4">
        <v>4.21</v>
      </c>
      <c r="BG4">
        <v>6.6</v>
      </c>
      <c r="BH4" s="2">
        <v>22.432390041170024</v>
      </c>
    </row>
    <row r="5" spans="1:63" x14ac:dyDescent="0.25">
      <c r="A5">
        <v>2</v>
      </c>
      <c r="B5">
        <v>-52.628109219999999</v>
      </c>
      <c r="C5">
        <v>-17.742866889999998</v>
      </c>
      <c r="D5" t="s">
        <v>72</v>
      </c>
      <c r="E5" s="3">
        <v>46203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440358</v>
      </c>
      <c r="P5">
        <v>1</v>
      </c>
      <c r="Q5">
        <v>1001</v>
      </c>
      <c r="T5">
        <v>189</v>
      </c>
      <c r="V5" t="s">
        <v>70</v>
      </c>
      <c r="W5" t="s">
        <v>67</v>
      </c>
      <c r="X5" t="s">
        <v>74</v>
      </c>
      <c r="Y5">
        <v>4</v>
      </c>
      <c r="AC5" t="s">
        <v>69</v>
      </c>
      <c r="AE5" t="s">
        <v>69</v>
      </c>
      <c r="AF5" t="s">
        <v>69</v>
      </c>
      <c r="AH5" t="s">
        <v>69</v>
      </c>
      <c r="AI5" t="s">
        <v>69</v>
      </c>
      <c r="AM5">
        <v>0.83000000000000007</v>
      </c>
      <c r="AN5" s="2">
        <v>-0.70865411371857712</v>
      </c>
      <c r="AR5">
        <v>3.05</v>
      </c>
      <c r="AS5">
        <v>0.37000000000000011</v>
      </c>
      <c r="AT5">
        <v>0.32</v>
      </c>
      <c r="AU5">
        <v>0.36</v>
      </c>
      <c r="BB5">
        <v>19.507564972912292</v>
      </c>
      <c r="BC5" s="2">
        <v>9.3714906833405003</v>
      </c>
      <c r="BD5" s="2">
        <f t="shared" si="0"/>
        <v>9.3714906833405003</v>
      </c>
      <c r="BF5">
        <v>4.24</v>
      </c>
      <c r="BG5">
        <v>6.73</v>
      </c>
      <c r="BH5" s="2">
        <v>19.560747867561467</v>
      </c>
    </row>
    <row r="6" spans="1:63" x14ac:dyDescent="0.25">
      <c r="A6">
        <v>3</v>
      </c>
      <c r="B6">
        <v>-52.623037029999999</v>
      </c>
      <c r="C6">
        <v>-17.743077799999998</v>
      </c>
      <c r="D6" t="s">
        <v>75</v>
      </c>
      <c r="E6" s="3">
        <v>46203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440358</v>
      </c>
      <c r="P6">
        <v>1</v>
      </c>
      <c r="Q6">
        <v>1001</v>
      </c>
      <c r="T6">
        <v>190</v>
      </c>
      <c r="V6" t="s">
        <v>66</v>
      </c>
      <c r="W6" t="s">
        <v>67</v>
      </c>
      <c r="X6" t="s">
        <v>76</v>
      </c>
      <c r="Y6">
        <v>5</v>
      </c>
      <c r="AC6" t="s">
        <v>69</v>
      </c>
      <c r="AE6" t="s">
        <v>69</v>
      </c>
      <c r="AF6" t="s">
        <v>69</v>
      </c>
      <c r="AH6" t="s">
        <v>69</v>
      </c>
      <c r="AI6" t="s">
        <v>69</v>
      </c>
      <c r="AM6">
        <v>1.03</v>
      </c>
      <c r="AN6" s="2">
        <v>-0.54231209226107469</v>
      </c>
      <c r="AR6">
        <v>3.18</v>
      </c>
      <c r="AS6">
        <v>0.71</v>
      </c>
      <c r="AT6">
        <v>3.8600000000000003</v>
      </c>
      <c r="AU6">
        <v>1.0900000000000001</v>
      </c>
      <c r="BB6">
        <v>27.390643065344481</v>
      </c>
      <c r="BC6" s="2">
        <v>12.4494642784849</v>
      </c>
      <c r="BD6" s="2">
        <f t="shared" si="0"/>
        <v>12.4494642784849</v>
      </c>
      <c r="BF6">
        <v>4.26</v>
      </c>
      <c r="BG6">
        <v>6.48</v>
      </c>
      <c r="BH6" s="2">
        <v>25.455959953116267</v>
      </c>
    </row>
    <row r="7" spans="1:63" x14ac:dyDescent="0.25">
      <c r="A7">
        <v>3</v>
      </c>
      <c r="B7">
        <v>-52.623037029999999</v>
      </c>
      <c r="C7">
        <v>-17.743077799999998</v>
      </c>
      <c r="D7" t="s">
        <v>75</v>
      </c>
      <c r="E7" s="3">
        <v>46203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440358</v>
      </c>
      <c r="P7">
        <v>1</v>
      </c>
      <c r="Q7">
        <v>1001</v>
      </c>
      <c r="T7">
        <v>190</v>
      </c>
      <c r="V7" t="s">
        <v>70</v>
      </c>
      <c r="W7" t="s">
        <v>67</v>
      </c>
      <c r="X7" t="s">
        <v>77</v>
      </c>
      <c r="Y7">
        <v>6</v>
      </c>
      <c r="AC7" t="s">
        <v>69</v>
      </c>
      <c r="AF7" t="s">
        <v>69</v>
      </c>
      <c r="AH7" t="s">
        <v>69</v>
      </c>
      <c r="AI7" t="s">
        <v>69</v>
      </c>
      <c r="AM7">
        <v>0.56999999999999984</v>
      </c>
      <c r="AN7" s="2">
        <v>-0.70865411371857712</v>
      </c>
      <c r="AR7">
        <v>3.59</v>
      </c>
      <c r="AS7">
        <v>0.61</v>
      </c>
      <c r="AT7">
        <v>1.77</v>
      </c>
      <c r="AU7">
        <v>0.66999999999999993</v>
      </c>
      <c r="BB7">
        <v>25.58364392255146</v>
      </c>
      <c r="BD7" s="2">
        <f t="shared" si="0"/>
        <v>15.58364392255146</v>
      </c>
      <c r="BF7">
        <v>4.24</v>
      </c>
      <c r="BG7">
        <v>6.54</v>
      </c>
      <c r="BH7" s="2">
        <v>23.896401874355661</v>
      </c>
    </row>
    <row r="8" spans="1:63" x14ac:dyDescent="0.25">
      <c r="A8">
        <v>4</v>
      </c>
      <c r="B8">
        <v>-52.618979240000002</v>
      </c>
      <c r="C8">
        <v>-17.74271997</v>
      </c>
      <c r="D8" t="s">
        <v>78</v>
      </c>
      <c r="E8" s="3">
        <v>46203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440358</v>
      </c>
      <c r="P8">
        <v>1</v>
      </c>
      <c r="Q8">
        <v>1001</v>
      </c>
      <c r="T8">
        <v>191</v>
      </c>
      <c r="V8" t="s">
        <v>66</v>
      </c>
      <c r="W8" t="s">
        <v>67</v>
      </c>
      <c r="X8" t="s">
        <v>79</v>
      </c>
      <c r="Y8">
        <v>7</v>
      </c>
      <c r="AC8" t="s">
        <v>69</v>
      </c>
      <c r="AF8" t="s">
        <v>69</v>
      </c>
      <c r="AH8" t="s">
        <v>69</v>
      </c>
      <c r="AI8" t="s">
        <v>69</v>
      </c>
      <c r="AM8">
        <v>0.53000000000000025</v>
      </c>
      <c r="AN8" s="2">
        <v>0.28939801502643719</v>
      </c>
      <c r="AR8">
        <v>2.67</v>
      </c>
      <c r="AS8">
        <v>1.49</v>
      </c>
      <c r="AT8">
        <v>1.18</v>
      </c>
      <c r="AU8">
        <v>1.96</v>
      </c>
      <c r="BB8">
        <v>30.761822211858089</v>
      </c>
      <c r="BD8" s="2">
        <f t="shared" si="0"/>
        <v>20.761822211858089</v>
      </c>
      <c r="BF8">
        <v>4.33</v>
      </c>
      <c r="BG8">
        <v>6.56</v>
      </c>
      <c r="BH8" s="2">
        <v>23.398078378476725</v>
      </c>
    </row>
    <row r="9" spans="1:63" x14ac:dyDescent="0.25">
      <c r="A9">
        <v>4</v>
      </c>
      <c r="B9">
        <v>-52.618979240000002</v>
      </c>
      <c r="C9">
        <v>-17.74271997</v>
      </c>
      <c r="D9" t="s">
        <v>78</v>
      </c>
      <c r="E9" s="3">
        <v>46203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440358</v>
      </c>
      <c r="P9">
        <v>1</v>
      </c>
      <c r="Q9">
        <v>1001</v>
      </c>
      <c r="T9">
        <v>191</v>
      </c>
      <c r="V9" t="s">
        <v>70</v>
      </c>
      <c r="W9" t="s">
        <v>67</v>
      </c>
      <c r="X9" t="s">
        <v>80</v>
      </c>
      <c r="Y9">
        <v>8</v>
      </c>
      <c r="AC9" t="s">
        <v>69</v>
      </c>
      <c r="AF9" t="s">
        <v>69</v>
      </c>
      <c r="AH9" t="s">
        <v>69</v>
      </c>
      <c r="AI9" t="s">
        <v>69</v>
      </c>
      <c r="AM9">
        <v>0.52</v>
      </c>
      <c r="AN9" s="2">
        <v>-0.20962804934606996</v>
      </c>
      <c r="AR9">
        <v>3.67</v>
      </c>
      <c r="AS9">
        <v>0.54999999999999993</v>
      </c>
      <c r="AT9">
        <v>0.34</v>
      </c>
      <c r="AU9">
        <v>0.51</v>
      </c>
      <c r="BB9">
        <v>20.897214315452501</v>
      </c>
      <c r="BD9" s="2">
        <f t="shared" si="0"/>
        <v>10.897214315452501</v>
      </c>
      <c r="BF9">
        <v>4.25</v>
      </c>
      <c r="BG9">
        <v>6.7</v>
      </c>
      <c r="BH9" s="2">
        <v>20.188959557144408</v>
      </c>
    </row>
    <row r="10" spans="1:63" x14ac:dyDescent="0.25">
      <c r="A10">
        <v>5</v>
      </c>
      <c r="B10">
        <v>-52.618427259999997</v>
      </c>
      <c r="C10">
        <v>-17.746627159999999</v>
      </c>
      <c r="D10" t="s">
        <v>81</v>
      </c>
      <c r="E10" s="3">
        <v>46203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440358</v>
      </c>
      <c r="P10">
        <v>1</v>
      </c>
      <c r="Q10">
        <v>1001</v>
      </c>
      <c r="T10">
        <v>192</v>
      </c>
      <c r="V10" t="s">
        <v>66</v>
      </c>
      <c r="W10" t="s">
        <v>67</v>
      </c>
      <c r="X10" t="s">
        <v>82</v>
      </c>
      <c r="Y10">
        <v>9</v>
      </c>
      <c r="AC10" t="s">
        <v>69</v>
      </c>
      <c r="AE10" t="s">
        <v>69</v>
      </c>
      <c r="AF10" t="s">
        <v>69</v>
      </c>
      <c r="AH10" t="s">
        <v>69</v>
      </c>
      <c r="AI10" t="s">
        <v>69</v>
      </c>
      <c r="AM10">
        <v>0.30000000000000032</v>
      </c>
      <c r="AN10" s="2">
        <v>0.12305599356893482</v>
      </c>
      <c r="AR10">
        <v>1.1300000000000001</v>
      </c>
      <c r="AS10">
        <v>4.96</v>
      </c>
      <c r="AT10">
        <v>0.94</v>
      </c>
      <c r="AU10">
        <v>4.01</v>
      </c>
      <c r="BB10">
        <v>28.55718298431</v>
      </c>
      <c r="BC10" s="2">
        <v>13.173693359695401</v>
      </c>
      <c r="BD10" s="2">
        <f t="shared" si="0"/>
        <v>13.173693359695401</v>
      </c>
      <c r="BF10">
        <v>4.6399999999999997</v>
      </c>
      <c r="BG10">
        <v>6.7</v>
      </c>
      <c r="BH10" s="2">
        <v>20.188959557144408</v>
      </c>
    </row>
    <row r="11" spans="1:63" x14ac:dyDescent="0.25">
      <c r="A11">
        <v>5</v>
      </c>
      <c r="B11">
        <v>-52.618427259999997</v>
      </c>
      <c r="C11">
        <v>-17.746627159999999</v>
      </c>
      <c r="D11" t="s">
        <v>81</v>
      </c>
      <c r="E11" s="3">
        <v>46203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440358</v>
      </c>
      <c r="P11">
        <v>1</v>
      </c>
      <c r="Q11">
        <v>1001</v>
      </c>
      <c r="T11">
        <v>192</v>
      </c>
      <c r="V11" t="s">
        <v>70</v>
      </c>
      <c r="W11" t="s">
        <v>67</v>
      </c>
      <c r="X11" t="s">
        <v>83</v>
      </c>
      <c r="Y11">
        <v>10</v>
      </c>
      <c r="AC11" t="s">
        <v>69</v>
      </c>
      <c r="AF11" t="s">
        <v>69</v>
      </c>
      <c r="AH11" t="s">
        <v>69</v>
      </c>
      <c r="AI11" t="s">
        <v>69</v>
      </c>
      <c r="AM11">
        <v>0.43000000000000022</v>
      </c>
      <c r="AN11" s="2">
        <v>-0.37597007080357236</v>
      </c>
      <c r="AR11">
        <v>2.2200000000000002</v>
      </c>
      <c r="AS11">
        <v>2.84</v>
      </c>
      <c r="AT11">
        <v>0.5</v>
      </c>
      <c r="AU11">
        <v>1.42</v>
      </c>
      <c r="BB11">
        <v>27.75837025865167</v>
      </c>
      <c r="BD11" s="2">
        <f t="shared" si="0"/>
        <v>17.75837025865167</v>
      </c>
      <c r="BF11">
        <v>4.43</v>
      </c>
      <c r="BG11">
        <v>6.7</v>
      </c>
      <c r="BH11" s="2">
        <v>20.188959557144408</v>
      </c>
    </row>
    <row r="12" spans="1:63" x14ac:dyDescent="0.25">
      <c r="A12">
        <v>6</v>
      </c>
      <c r="B12">
        <v>-52.627981390000002</v>
      </c>
      <c r="C12">
        <v>-17.74960527</v>
      </c>
      <c r="D12" t="s">
        <v>84</v>
      </c>
      <c r="E12" s="3">
        <v>46203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440358</v>
      </c>
      <c r="P12">
        <v>1</v>
      </c>
      <c r="Q12">
        <v>1001</v>
      </c>
      <c r="T12">
        <v>193</v>
      </c>
      <c r="V12" t="s">
        <v>66</v>
      </c>
      <c r="W12" t="s">
        <v>67</v>
      </c>
      <c r="X12" t="s">
        <v>85</v>
      </c>
      <c r="Y12">
        <v>11</v>
      </c>
      <c r="AC12" t="s">
        <v>69</v>
      </c>
      <c r="AE12" t="s">
        <v>69</v>
      </c>
      <c r="AF12" t="s">
        <v>69</v>
      </c>
      <c r="AH12" t="s">
        <v>69</v>
      </c>
      <c r="AI12" t="s">
        <v>69</v>
      </c>
      <c r="AM12">
        <v>1.56</v>
      </c>
      <c r="AN12" s="2">
        <v>0.12305599356893482</v>
      </c>
      <c r="AR12">
        <v>5.9399999999999995</v>
      </c>
      <c r="AS12">
        <v>0.42999999999999994</v>
      </c>
      <c r="AT12">
        <v>0.49</v>
      </c>
      <c r="AU12">
        <v>0.4</v>
      </c>
      <c r="BB12">
        <v>28.054594085707318</v>
      </c>
      <c r="BC12" s="2">
        <v>14.4410942518137</v>
      </c>
      <c r="BD12" s="2">
        <f t="shared" si="0"/>
        <v>14.4410942518137</v>
      </c>
      <c r="BF12">
        <v>4.08</v>
      </c>
      <c r="BG12">
        <v>6.13</v>
      </c>
      <c r="BH12" s="2">
        <v>36.809092682328917</v>
      </c>
    </row>
    <row r="13" spans="1:63" x14ac:dyDescent="0.25">
      <c r="A13">
        <v>6</v>
      </c>
      <c r="B13">
        <v>-52.627981390000002</v>
      </c>
      <c r="C13">
        <v>-17.74960527</v>
      </c>
      <c r="D13" t="s">
        <v>84</v>
      </c>
      <c r="E13" s="3">
        <v>46203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440358</v>
      </c>
      <c r="P13">
        <v>1</v>
      </c>
      <c r="Q13">
        <v>1001</v>
      </c>
      <c r="T13">
        <v>193</v>
      </c>
      <c r="V13" t="s">
        <v>70</v>
      </c>
      <c r="W13" t="s">
        <v>67</v>
      </c>
      <c r="X13" t="s">
        <v>86</v>
      </c>
      <c r="Y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0.5</v>
      </c>
      <c r="AN13" s="2">
        <v>-0.37597007080357236</v>
      </c>
      <c r="AR13">
        <v>4.6100000000000003</v>
      </c>
      <c r="AS13">
        <v>0.21000000000000002</v>
      </c>
      <c r="AT13">
        <v>0.28000000000000003</v>
      </c>
      <c r="AU13">
        <v>0.26</v>
      </c>
      <c r="BB13">
        <v>24.14526207767906</v>
      </c>
      <c r="BD13" s="2">
        <f t="shared" si="0"/>
        <v>14.14526207767906</v>
      </c>
      <c r="BF13">
        <v>4.1500000000000004</v>
      </c>
      <c r="BG13">
        <v>6.46</v>
      </c>
      <c r="BH13" s="2">
        <v>25.998111438789568</v>
      </c>
    </row>
    <row r="14" spans="1:63" x14ac:dyDescent="0.25">
      <c r="A14">
        <v>7</v>
      </c>
      <c r="B14">
        <v>-52.62355213</v>
      </c>
      <c r="C14">
        <v>-17.7479309</v>
      </c>
      <c r="D14" t="s">
        <v>87</v>
      </c>
      <c r="E14" s="3">
        <v>46203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440358</v>
      </c>
      <c r="P14">
        <v>1</v>
      </c>
      <c r="Q14">
        <v>1001</v>
      </c>
      <c r="T14">
        <v>194</v>
      </c>
      <c r="V14" t="s">
        <v>66</v>
      </c>
      <c r="W14" t="s">
        <v>67</v>
      </c>
      <c r="X14" t="s">
        <v>88</v>
      </c>
      <c r="Y14">
        <v>13</v>
      </c>
      <c r="AC14" t="s">
        <v>69</v>
      </c>
      <c r="AF14" t="s">
        <v>69</v>
      </c>
      <c r="AH14" t="s">
        <v>69</v>
      </c>
      <c r="AI14" t="s">
        <v>69</v>
      </c>
      <c r="AM14">
        <v>0.37000000000000011</v>
      </c>
      <c r="AN14" s="2">
        <v>-0.20962804934606996</v>
      </c>
      <c r="AR14">
        <v>2.12</v>
      </c>
      <c r="AS14">
        <v>0.94</v>
      </c>
      <c r="AT14">
        <v>0.66</v>
      </c>
      <c r="AU14">
        <v>0.63</v>
      </c>
      <c r="BB14">
        <v>29.521425259591151</v>
      </c>
      <c r="BD14" s="2">
        <f t="shared" si="0"/>
        <v>19.521425259591151</v>
      </c>
      <c r="BF14">
        <v>4.2300000000000004</v>
      </c>
      <c r="BG14">
        <v>6.85</v>
      </c>
      <c r="BH14" s="2">
        <v>17.237390633481372</v>
      </c>
    </row>
    <row r="15" spans="1:63" x14ac:dyDescent="0.25">
      <c r="A15">
        <v>7</v>
      </c>
      <c r="B15">
        <v>-52.62355213</v>
      </c>
      <c r="C15">
        <v>-17.7479309</v>
      </c>
      <c r="D15" t="s">
        <v>87</v>
      </c>
      <c r="E15" s="3">
        <v>46203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440358</v>
      </c>
      <c r="P15">
        <v>1</v>
      </c>
      <c r="Q15">
        <v>1001</v>
      </c>
      <c r="T15">
        <v>194</v>
      </c>
      <c r="V15" t="s">
        <v>70</v>
      </c>
      <c r="W15" t="s">
        <v>67</v>
      </c>
      <c r="X15" t="s">
        <v>89</v>
      </c>
      <c r="Y15">
        <v>14</v>
      </c>
      <c r="AC15" t="s">
        <v>69</v>
      </c>
      <c r="AF15" t="s">
        <v>69</v>
      </c>
      <c r="AH15" t="s">
        <v>69</v>
      </c>
      <c r="AI15" t="s">
        <v>69</v>
      </c>
      <c r="AM15">
        <v>0.58000000000000007</v>
      </c>
      <c r="AN15" s="2">
        <v>-4.3286027888567565E-2</v>
      </c>
      <c r="AR15">
        <v>3.9800000000000004</v>
      </c>
      <c r="AS15">
        <v>0.75</v>
      </c>
      <c r="AT15">
        <v>0.77</v>
      </c>
      <c r="AU15">
        <v>0.63</v>
      </c>
      <c r="BB15">
        <v>30.30512400528519</v>
      </c>
      <c r="BD15" s="2">
        <f t="shared" si="0"/>
        <v>20.30512400528519</v>
      </c>
      <c r="BF15">
        <v>4.2</v>
      </c>
      <c r="BG15">
        <v>6.57</v>
      </c>
      <c r="BH15" s="2">
        <v>23.152827201577164</v>
      </c>
    </row>
    <row r="16" spans="1:63" x14ac:dyDescent="0.25">
      <c r="A16">
        <v>8</v>
      </c>
      <c r="B16">
        <v>-52.621448340000001</v>
      </c>
      <c r="C16">
        <v>-17.751685210000002</v>
      </c>
      <c r="D16" t="s">
        <v>90</v>
      </c>
      <c r="E16" s="3">
        <v>46203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440358</v>
      </c>
      <c r="P16">
        <v>1</v>
      </c>
      <c r="Q16">
        <v>1001</v>
      </c>
      <c r="T16">
        <v>195</v>
      </c>
      <c r="V16" t="s">
        <v>66</v>
      </c>
      <c r="W16" t="s">
        <v>67</v>
      </c>
      <c r="X16" t="s">
        <v>91</v>
      </c>
      <c r="Y16">
        <v>15</v>
      </c>
      <c r="AC16" t="s">
        <v>69</v>
      </c>
      <c r="AE16" t="s">
        <v>69</v>
      </c>
      <c r="AF16" t="s">
        <v>69</v>
      </c>
      <c r="AH16" t="s">
        <v>69</v>
      </c>
      <c r="AI16" t="s">
        <v>69</v>
      </c>
      <c r="AM16">
        <v>0.39999999999999991</v>
      </c>
      <c r="AN16" s="2">
        <v>-4.3286027888567565E-2</v>
      </c>
      <c r="AR16">
        <v>2.6500000000000004</v>
      </c>
      <c r="AS16">
        <v>2.63</v>
      </c>
      <c r="AT16">
        <v>0.44999999999999996</v>
      </c>
      <c r="AU16">
        <v>1.34</v>
      </c>
      <c r="BB16">
        <v>31.0741105932191</v>
      </c>
      <c r="BC16" s="2">
        <v>11.7252351972745</v>
      </c>
      <c r="BD16" s="2">
        <f t="shared" si="0"/>
        <v>11.7252351972745</v>
      </c>
      <c r="BF16">
        <v>4.3499999999999996</v>
      </c>
      <c r="BG16">
        <v>6.63</v>
      </c>
      <c r="BH16" s="2">
        <v>21.734370432519114</v>
      </c>
    </row>
    <row r="17" spans="1:60" x14ac:dyDescent="0.25">
      <c r="A17">
        <v>8</v>
      </c>
      <c r="B17">
        <v>-52.621448340000001</v>
      </c>
      <c r="C17">
        <v>-17.751685210000002</v>
      </c>
      <c r="D17" t="s">
        <v>90</v>
      </c>
      <c r="E17" s="3">
        <v>46203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440358</v>
      </c>
      <c r="P17">
        <v>1</v>
      </c>
      <c r="Q17">
        <v>1001</v>
      </c>
      <c r="T17">
        <v>195</v>
      </c>
      <c r="V17" t="s">
        <v>70</v>
      </c>
      <c r="W17" t="s">
        <v>67</v>
      </c>
      <c r="X17" t="s">
        <v>92</v>
      </c>
      <c r="Y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0.26000000000000018</v>
      </c>
      <c r="AN17" s="2">
        <v>-0.20962804934606996</v>
      </c>
      <c r="AR17">
        <v>4.2299999999999995</v>
      </c>
      <c r="AS17">
        <v>0.53999999999999992</v>
      </c>
      <c r="AT17">
        <v>0.3</v>
      </c>
      <c r="AU17">
        <v>0.47</v>
      </c>
      <c r="BB17">
        <v>27.013818719734449</v>
      </c>
      <c r="BD17" s="2">
        <f t="shared" si="0"/>
        <v>17.013818719734449</v>
      </c>
      <c r="BF17">
        <v>4.22</v>
      </c>
      <c r="BG17">
        <v>6.62</v>
      </c>
      <c r="BH17" s="2">
        <v>21.964596308665367</v>
      </c>
    </row>
    <row r="18" spans="1:60" x14ac:dyDescent="0.25">
      <c r="A18">
        <v>9</v>
      </c>
      <c r="B18">
        <v>-52.630620219999997</v>
      </c>
      <c r="C18">
        <v>-17.754201210000002</v>
      </c>
      <c r="D18" t="s">
        <v>93</v>
      </c>
      <c r="E18" s="3">
        <v>46203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440358</v>
      </c>
      <c r="P18">
        <v>1</v>
      </c>
      <c r="Q18">
        <v>1001</v>
      </c>
      <c r="T18">
        <v>196</v>
      </c>
      <c r="V18" t="s">
        <v>66</v>
      </c>
      <c r="W18" t="s">
        <v>67</v>
      </c>
      <c r="X18" t="s">
        <v>94</v>
      </c>
      <c r="Y18">
        <v>17</v>
      </c>
      <c r="AC18" t="s">
        <v>69</v>
      </c>
      <c r="AF18" t="s">
        <v>69</v>
      </c>
      <c r="AH18" t="s">
        <v>69</v>
      </c>
      <c r="AI18" t="s">
        <v>69</v>
      </c>
      <c r="AM18">
        <v>0.37000000000000011</v>
      </c>
      <c r="AN18" s="2">
        <v>-0.87499613517607955</v>
      </c>
      <c r="AR18">
        <v>2.75</v>
      </c>
      <c r="AS18">
        <v>0.37000000000000011</v>
      </c>
      <c r="AT18">
        <v>0.39999999999999986</v>
      </c>
      <c r="AU18">
        <v>0.25</v>
      </c>
      <c r="BB18">
        <v>26.520619975438851</v>
      </c>
      <c r="BD18" s="2">
        <f t="shared" si="0"/>
        <v>16.520619975438851</v>
      </c>
      <c r="BF18">
        <v>4.3</v>
      </c>
      <c r="BG18">
        <v>6.9</v>
      </c>
      <c r="BH18" s="2">
        <v>16.352747048248023</v>
      </c>
    </row>
    <row r="19" spans="1:60" x14ac:dyDescent="0.25">
      <c r="A19">
        <v>9</v>
      </c>
      <c r="B19">
        <v>-52.630620219999997</v>
      </c>
      <c r="C19">
        <v>-17.754201210000002</v>
      </c>
      <c r="D19" t="s">
        <v>93</v>
      </c>
      <c r="E19" s="3">
        <v>46203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440358</v>
      </c>
      <c r="P19">
        <v>1</v>
      </c>
      <c r="Q19">
        <v>1001</v>
      </c>
      <c r="T19">
        <v>196</v>
      </c>
      <c r="V19" t="s">
        <v>70</v>
      </c>
      <c r="W19" t="s">
        <v>67</v>
      </c>
      <c r="X19" t="s">
        <v>95</v>
      </c>
      <c r="Y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0.1400000000000001</v>
      </c>
      <c r="AN19" s="2">
        <v>-1.041338156633582</v>
      </c>
      <c r="AR19">
        <v>2.52</v>
      </c>
      <c r="AS19">
        <v>0.21000000000000002</v>
      </c>
      <c r="AT19">
        <v>0.2</v>
      </c>
      <c r="AU19">
        <v>0.17</v>
      </c>
      <c r="BB19">
        <v>23.47413034224374</v>
      </c>
      <c r="BD19" s="2">
        <f t="shared" si="0"/>
        <v>13.47413034224374</v>
      </c>
      <c r="BF19">
        <v>4.32</v>
      </c>
      <c r="BG19">
        <v>6.95</v>
      </c>
      <c r="BH19" s="2">
        <v>15.513504434051118</v>
      </c>
    </row>
    <row r="20" spans="1:60" x14ac:dyDescent="0.25">
      <c r="A20">
        <v>10</v>
      </c>
      <c r="B20">
        <v>-52.62114614</v>
      </c>
      <c r="C20">
        <v>-17.75583529</v>
      </c>
      <c r="D20" t="s">
        <v>96</v>
      </c>
      <c r="E20" s="3">
        <v>46203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440358</v>
      </c>
      <c r="P20">
        <v>1</v>
      </c>
      <c r="Q20">
        <v>1001</v>
      </c>
      <c r="T20">
        <v>197</v>
      </c>
      <c r="V20" t="s">
        <v>66</v>
      </c>
      <c r="W20" t="s">
        <v>67</v>
      </c>
      <c r="X20" t="s">
        <v>97</v>
      </c>
      <c r="Y20">
        <v>19</v>
      </c>
      <c r="AC20" t="s">
        <v>69</v>
      </c>
      <c r="AF20" t="s">
        <v>69</v>
      </c>
      <c r="AH20" t="s">
        <v>69</v>
      </c>
      <c r="AI20" t="s">
        <v>69</v>
      </c>
      <c r="AM20">
        <v>0.1400000000000001</v>
      </c>
      <c r="AN20" s="2">
        <v>-0.37597007080357236</v>
      </c>
      <c r="AR20">
        <v>2.88</v>
      </c>
      <c r="AS20">
        <v>1.51</v>
      </c>
      <c r="AT20">
        <v>0.39000000000000007</v>
      </c>
      <c r="AU20">
        <v>0.83999999999999986</v>
      </c>
      <c r="BB20">
        <v>28.712514483517278</v>
      </c>
      <c r="BD20" s="2">
        <f t="shared" si="0"/>
        <v>18.712514483517278</v>
      </c>
      <c r="BF20">
        <v>4.1900000000000004</v>
      </c>
      <c r="BG20">
        <v>6.65</v>
      </c>
      <c r="BH20" s="2">
        <v>21.281132848400475</v>
      </c>
    </row>
    <row r="21" spans="1:60" x14ac:dyDescent="0.25">
      <c r="A21">
        <v>10</v>
      </c>
      <c r="B21">
        <v>-52.62114614</v>
      </c>
      <c r="C21">
        <v>-17.75583529</v>
      </c>
      <c r="D21" t="s">
        <v>96</v>
      </c>
      <c r="E21" s="3">
        <v>46203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440358</v>
      </c>
      <c r="P21">
        <v>1</v>
      </c>
      <c r="Q21">
        <v>1001</v>
      </c>
      <c r="T21">
        <v>197</v>
      </c>
      <c r="V21" t="s">
        <v>70</v>
      </c>
      <c r="W21" t="s">
        <v>67</v>
      </c>
      <c r="X21" t="s">
        <v>98</v>
      </c>
      <c r="Y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0.1699999999999999</v>
      </c>
      <c r="AN21" s="2">
        <v>-0.37597007080357236</v>
      </c>
      <c r="AR21">
        <v>2.6</v>
      </c>
      <c r="AS21">
        <v>1.27</v>
      </c>
      <c r="AT21">
        <v>0.27</v>
      </c>
      <c r="AU21">
        <v>0.55000000000000004</v>
      </c>
      <c r="BB21">
        <v>24.14501394904968</v>
      </c>
      <c r="BD21" s="2">
        <f t="shared" si="0"/>
        <v>14.14501394904968</v>
      </c>
      <c r="BF21">
        <v>4.2699999999999996</v>
      </c>
      <c r="BG21">
        <v>6.78</v>
      </c>
      <c r="BH21" s="2">
        <v>18.556866799286926</v>
      </c>
    </row>
    <row r="22" spans="1:60" x14ac:dyDescent="0.25">
      <c r="A22">
        <v>11</v>
      </c>
      <c r="B22">
        <v>-52.626966840000001</v>
      </c>
      <c r="C22">
        <v>-17.756724200000001</v>
      </c>
      <c r="D22" t="s">
        <v>99</v>
      </c>
      <c r="E22" s="3">
        <v>46203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440358</v>
      </c>
      <c r="P22">
        <v>1</v>
      </c>
      <c r="Q22">
        <v>1001</v>
      </c>
      <c r="T22">
        <v>198</v>
      </c>
      <c r="V22" t="s">
        <v>66</v>
      </c>
      <c r="W22" t="s">
        <v>67</v>
      </c>
      <c r="X22" t="s">
        <v>100</v>
      </c>
      <c r="Y22">
        <v>21</v>
      </c>
      <c r="AC22" t="s">
        <v>69</v>
      </c>
      <c r="AE22" t="s">
        <v>69</v>
      </c>
      <c r="AF22" t="s">
        <v>69</v>
      </c>
      <c r="AH22" t="s">
        <v>69</v>
      </c>
      <c r="AI22" t="s">
        <v>69</v>
      </c>
      <c r="AM22">
        <v>0.20000000000000021</v>
      </c>
      <c r="AN22" s="2">
        <v>0.45574003648393963</v>
      </c>
      <c r="AR22">
        <v>2.5499999999999998</v>
      </c>
      <c r="AS22">
        <v>3.02</v>
      </c>
      <c r="AT22">
        <v>0.51</v>
      </c>
      <c r="AU22">
        <v>1.7399999999999998</v>
      </c>
      <c r="BB22">
        <v>28.435147118341749</v>
      </c>
      <c r="BC22" s="2">
        <v>12.0873497378797</v>
      </c>
      <c r="BD22" s="2">
        <f t="shared" si="0"/>
        <v>12.0873497378797</v>
      </c>
      <c r="BF22">
        <v>4.3</v>
      </c>
      <c r="BG22">
        <v>6.7</v>
      </c>
      <c r="BH22" s="2">
        <v>20.188959557144408</v>
      </c>
    </row>
    <row r="23" spans="1:60" x14ac:dyDescent="0.25">
      <c r="A23">
        <v>11</v>
      </c>
      <c r="B23">
        <v>-52.626966840000001</v>
      </c>
      <c r="C23">
        <v>-17.756724200000001</v>
      </c>
      <c r="D23" t="s">
        <v>99</v>
      </c>
      <c r="E23" s="3">
        <v>46203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440358</v>
      </c>
      <c r="P23">
        <v>1</v>
      </c>
      <c r="Q23">
        <v>1001</v>
      </c>
      <c r="T23">
        <v>198</v>
      </c>
      <c r="V23" t="s">
        <v>70</v>
      </c>
      <c r="W23" t="s">
        <v>67</v>
      </c>
      <c r="X23" t="s">
        <v>101</v>
      </c>
      <c r="Y23">
        <v>22</v>
      </c>
      <c r="AC23" t="s">
        <v>69</v>
      </c>
      <c r="AF23" t="s">
        <v>69</v>
      </c>
      <c r="AH23" t="s">
        <v>69</v>
      </c>
      <c r="AI23" t="s">
        <v>69</v>
      </c>
      <c r="AM23">
        <v>0.31999999999999978</v>
      </c>
      <c r="AN23" s="2">
        <v>-0.70865411371857712</v>
      </c>
      <c r="AR23">
        <v>2.8899999999999997</v>
      </c>
      <c r="AS23">
        <v>2.11</v>
      </c>
      <c r="AT23">
        <v>0.22999999999999998</v>
      </c>
      <c r="AU23">
        <v>0.71</v>
      </c>
      <c r="BB23">
        <v>22.71914006250887</v>
      </c>
      <c r="BD23" s="2">
        <f t="shared" si="0"/>
        <v>12.71914006250887</v>
      </c>
      <c r="BF23">
        <v>4.3099999999999996</v>
      </c>
      <c r="BG23">
        <v>6.83</v>
      </c>
      <c r="BH23" s="2">
        <v>17.604506112853763</v>
      </c>
    </row>
    <row r="24" spans="1:60" x14ac:dyDescent="0.25">
      <c r="A24">
        <v>12</v>
      </c>
      <c r="B24">
        <v>-52.612087709999997</v>
      </c>
      <c r="C24">
        <v>-17.726549259999999</v>
      </c>
      <c r="D24" t="s">
        <v>102</v>
      </c>
      <c r="E24" s="3">
        <v>46203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440359</v>
      </c>
      <c r="P24">
        <v>1</v>
      </c>
      <c r="Q24">
        <v>1001</v>
      </c>
      <c r="T24">
        <v>201</v>
      </c>
      <c r="V24" t="s">
        <v>66</v>
      </c>
      <c r="W24" t="s">
        <v>67</v>
      </c>
      <c r="X24" t="s">
        <v>103</v>
      </c>
      <c r="Y24">
        <v>23</v>
      </c>
      <c r="AC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1.33</v>
      </c>
      <c r="AN24" s="2">
        <v>9.6045512166465699</v>
      </c>
      <c r="AR24">
        <v>0.14000000000000001</v>
      </c>
      <c r="AS24">
        <v>14.27</v>
      </c>
      <c r="AT24">
        <v>1.3900000000000001</v>
      </c>
      <c r="AU24">
        <v>7.13</v>
      </c>
      <c r="BB24">
        <v>31.49359652717186</v>
      </c>
      <c r="BC24" s="2">
        <v>18.4243541984712</v>
      </c>
      <c r="BD24" s="2">
        <f t="shared" si="0"/>
        <v>18.4243541984712</v>
      </c>
      <c r="BF24">
        <v>5.03</v>
      </c>
      <c r="BG24">
        <v>6.87</v>
      </c>
      <c r="BH24" s="2">
        <v>16.877930794905186</v>
      </c>
    </row>
    <row r="25" spans="1:60" x14ac:dyDescent="0.25">
      <c r="A25">
        <v>12</v>
      </c>
      <c r="B25">
        <v>-52.612087709999997</v>
      </c>
      <c r="C25">
        <v>-17.726549259999999</v>
      </c>
      <c r="D25" t="s">
        <v>102</v>
      </c>
      <c r="E25" s="3">
        <v>46203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440359</v>
      </c>
      <c r="P25">
        <v>1</v>
      </c>
      <c r="Q25">
        <v>1001</v>
      </c>
      <c r="T25">
        <v>201</v>
      </c>
      <c r="V25" t="s">
        <v>70</v>
      </c>
      <c r="W25" t="s">
        <v>67</v>
      </c>
      <c r="X25" t="s">
        <v>104</v>
      </c>
      <c r="Y25">
        <v>24</v>
      </c>
      <c r="AC25" t="s">
        <v>69</v>
      </c>
      <c r="AE25" t="s">
        <v>69</v>
      </c>
      <c r="AF25" t="s">
        <v>69</v>
      </c>
      <c r="AH25" t="s">
        <v>69</v>
      </c>
      <c r="AI25" t="s">
        <v>69</v>
      </c>
      <c r="AM25">
        <v>0.89000000000000012</v>
      </c>
      <c r="AN25" s="2">
        <v>3.616238444176485</v>
      </c>
      <c r="AR25">
        <v>0.21999999999999997</v>
      </c>
      <c r="AS25">
        <v>8.59</v>
      </c>
      <c r="AT25">
        <v>0.77</v>
      </c>
      <c r="AU25">
        <v>5.629999999999999</v>
      </c>
      <c r="BB25">
        <v>23.014982132087201</v>
      </c>
      <c r="BC25" s="2">
        <v>10.457834305156201</v>
      </c>
      <c r="BD25" s="2">
        <f t="shared" si="0"/>
        <v>10.457834305156201</v>
      </c>
      <c r="BF25">
        <v>5.2</v>
      </c>
      <c r="BG25">
        <v>7.1</v>
      </c>
      <c r="BH25" s="2">
        <v>13.245473857485326</v>
      </c>
    </row>
    <row r="26" spans="1:60" x14ac:dyDescent="0.25">
      <c r="A26">
        <v>13</v>
      </c>
      <c r="B26">
        <v>-52.614169510000004</v>
      </c>
      <c r="C26">
        <v>-17.728694260000001</v>
      </c>
      <c r="D26" t="s">
        <v>105</v>
      </c>
      <c r="E26" s="3">
        <v>46203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440359</v>
      </c>
      <c r="P26">
        <v>1</v>
      </c>
      <c r="Q26">
        <v>1001</v>
      </c>
      <c r="T26">
        <v>204</v>
      </c>
      <c r="V26" t="s">
        <v>66</v>
      </c>
      <c r="W26" t="s">
        <v>67</v>
      </c>
      <c r="X26" t="s">
        <v>106</v>
      </c>
      <c r="Y26">
        <v>25</v>
      </c>
      <c r="AC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0.4700000000000002</v>
      </c>
      <c r="AN26" s="2">
        <v>0.12305599356893482</v>
      </c>
      <c r="AR26">
        <v>0.73</v>
      </c>
      <c r="AS26">
        <v>5.51</v>
      </c>
      <c r="AT26">
        <v>0.71000000000000008</v>
      </c>
      <c r="AU26">
        <v>3.4699999999999998</v>
      </c>
      <c r="BB26">
        <v>28.452737336285821</v>
      </c>
      <c r="BC26" s="2">
        <v>12.0873497378797</v>
      </c>
      <c r="BD26" s="2">
        <f t="shared" si="0"/>
        <v>12.0873497378797</v>
      </c>
      <c r="BF26">
        <v>4.72</v>
      </c>
      <c r="BG26">
        <v>6.82</v>
      </c>
      <c r="BH26" s="2">
        <v>17.790985535229375</v>
      </c>
    </row>
    <row r="27" spans="1:60" x14ac:dyDescent="0.25">
      <c r="A27">
        <v>13</v>
      </c>
      <c r="B27">
        <v>-52.614169510000004</v>
      </c>
      <c r="C27">
        <v>-17.728694260000001</v>
      </c>
      <c r="D27" t="s">
        <v>105</v>
      </c>
      <c r="E27" s="3">
        <v>46203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440359</v>
      </c>
      <c r="P27">
        <v>1</v>
      </c>
      <c r="Q27">
        <v>1001</v>
      </c>
      <c r="T27">
        <v>204</v>
      </c>
      <c r="V27" t="s">
        <v>70</v>
      </c>
      <c r="W27" t="s">
        <v>67</v>
      </c>
      <c r="X27" t="s">
        <v>107</v>
      </c>
      <c r="Y27">
        <v>26</v>
      </c>
      <c r="AC27" t="s">
        <v>69</v>
      </c>
      <c r="AF27" t="s">
        <v>69</v>
      </c>
      <c r="AH27" t="s">
        <v>69</v>
      </c>
      <c r="AI27" t="s">
        <v>69</v>
      </c>
      <c r="AM27">
        <v>0.69</v>
      </c>
      <c r="AN27" s="2">
        <v>-0.37597007080357236</v>
      </c>
      <c r="AR27">
        <v>1.6700000000000002</v>
      </c>
      <c r="AS27">
        <v>3.4499999999999997</v>
      </c>
      <c r="AT27">
        <v>0.45999999999999996</v>
      </c>
      <c r="AU27">
        <v>2.25</v>
      </c>
      <c r="BB27">
        <v>25.031819230398529</v>
      </c>
      <c r="BD27" s="2">
        <f t="shared" si="0"/>
        <v>15.031819230398529</v>
      </c>
      <c r="BF27">
        <v>4.5</v>
      </c>
      <c r="BG27">
        <v>6.76</v>
      </c>
      <c r="BH27" s="2">
        <v>18.952083987057659</v>
      </c>
    </row>
    <row r="28" spans="1:60" x14ac:dyDescent="0.25">
      <c r="A28">
        <v>14</v>
      </c>
      <c r="B28">
        <v>-52.610519420000003</v>
      </c>
      <c r="C28">
        <v>-17.728665360000001</v>
      </c>
      <c r="D28" t="s">
        <v>108</v>
      </c>
      <c r="E28" s="3">
        <v>46203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440359</v>
      </c>
      <c r="P28">
        <v>1</v>
      </c>
      <c r="Q28">
        <v>1001</v>
      </c>
      <c r="T28">
        <v>205</v>
      </c>
      <c r="V28" t="s">
        <v>66</v>
      </c>
      <c r="W28" t="s">
        <v>67</v>
      </c>
      <c r="X28" t="s">
        <v>109</v>
      </c>
      <c r="Y28">
        <v>27</v>
      </c>
      <c r="AC28" t="s">
        <v>69</v>
      </c>
      <c r="AF28" t="s">
        <v>69</v>
      </c>
      <c r="AH28" t="s">
        <v>69</v>
      </c>
      <c r="AI28" t="s">
        <v>69</v>
      </c>
      <c r="AM28">
        <v>0.37999999999999989</v>
      </c>
      <c r="AN28" s="2">
        <v>10.602603345391586</v>
      </c>
      <c r="AR28">
        <v>7.0000000000000007E-2</v>
      </c>
      <c r="AS28">
        <v>11.41</v>
      </c>
      <c r="AT28">
        <v>1.92</v>
      </c>
      <c r="AU28">
        <v>5.7799999999999994</v>
      </c>
      <c r="BB28">
        <v>27.019908357624391</v>
      </c>
      <c r="BD28" s="2">
        <f t="shared" si="0"/>
        <v>17.019908357624391</v>
      </c>
      <c r="BF28">
        <v>5.34</v>
      </c>
      <c r="BG28">
        <v>7.09</v>
      </c>
      <c r="BH28" s="2">
        <v>13.385779316678622</v>
      </c>
    </row>
    <row r="29" spans="1:60" x14ac:dyDescent="0.25">
      <c r="A29">
        <v>14</v>
      </c>
      <c r="B29">
        <v>-52.610519420000003</v>
      </c>
      <c r="C29">
        <v>-17.728665360000001</v>
      </c>
      <c r="D29" t="s">
        <v>108</v>
      </c>
      <c r="E29" s="3">
        <v>46203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440359</v>
      </c>
      <c r="P29">
        <v>1</v>
      </c>
      <c r="Q29">
        <v>1001</v>
      </c>
      <c r="T29">
        <v>205</v>
      </c>
      <c r="V29" t="s">
        <v>70</v>
      </c>
      <c r="W29" t="s">
        <v>67</v>
      </c>
      <c r="X29" t="s">
        <v>110</v>
      </c>
      <c r="Y29">
        <v>28</v>
      </c>
      <c r="AC29" t="s">
        <v>69</v>
      </c>
      <c r="AF29" t="s">
        <v>69</v>
      </c>
      <c r="AH29" t="s">
        <v>69</v>
      </c>
      <c r="AI29" t="s">
        <v>69</v>
      </c>
      <c r="AM29">
        <v>0.41999999999999987</v>
      </c>
      <c r="AN29" s="2">
        <v>3.1172123798039775</v>
      </c>
      <c r="AR29">
        <v>0.08</v>
      </c>
      <c r="AS29">
        <v>8.9700000000000006</v>
      </c>
      <c r="AT29">
        <v>1.26</v>
      </c>
      <c r="AU29">
        <v>5.7399999999999993</v>
      </c>
      <c r="BB29">
        <v>27.754035490333589</v>
      </c>
      <c r="BD29" s="2">
        <f t="shared" si="0"/>
        <v>17.754035490333589</v>
      </c>
      <c r="BF29">
        <v>5.45</v>
      </c>
      <c r="BG29">
        <v>7.17</v>
      </c>
      <c r="BH29" s="2">
        <v>12.303661468099419</v>
      </c>
    </row>
    <row r="30" spans="1:60" x14ac:dyDescent="0.25">
      <c r="A30">
        <v>15</v>
      </c>
      <c r="B30">
        <v>-52.610160860000001</v>
      </c>
      <c r="C30">
        <v>-17.726511290000001</v>
      </c>
      <c r="D30" t="s">
        <v>111</v>
      </c>
      <c r="E30" s="3">
        <v>46203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440359</v>
      </c>
      <c r="P30">
        <v>1</v>
      </c>
      <c r="Q30">
        <v>1001</v>
      </c>
      <c r="T30">
        <v>206</v>
      </c>
      <c r="V30" t="s">
        <v>66</v>
      </c>
      <c r="W30" t="s">
        <v>67</v>
      </c>
      <c r="X30" t="s">
        <v>112</v>
      </c>
      <c r="Y30">
        <v>29</v>
      </c>
      <c r="AC30" t="s">
        <v>69</v>
      </c>
      <c r="AF30" t="s">
        <v>69</v>
      </c>
      <c r="AH30" t="s">
        <v>69</v>
      </c>
      <c r="AI30" t="s">
        <v>69</v>
      </c>
      <c r="AM30">
        <v>0.7200000000000002</v>
      </c>
      <c r="AN30" s="2">
        <v>1.7864762081439587</v>
      </c>
      <c r="AR30">
        <v>0.08</v>
      </c>
      <c r="AS30">
        <v>14.559999999999999</v>
      </c>
      <c r="AT30">
        <v>2.37</v>
      </c>
      <c r="AU30">
        <v>5.7899999999999991</v>
      </c>
      <c r="BB30">
        <v>31.623657814708221</v>
      </c>
      <c r="BD30" s="2">
        <f t="shared" si="0"/>
        <v>21.623657814708221</v>
      </c>
      <c r="BF30">
        <v>5.27</v>
      </c>
      <c r="BG30">
        <v>6.97</v>
      </c>
      <c r="BH30" s="2">
        <v>15.189993647634109</v>
      </c>
    </row>
    <row r="31" spans="1:60" x14ac:dyDescent="0.25">
      <c r="A31">
        <v>15</v>
      </c>
      <c r="B31">
        <v>-52.610160860000001</v>
      </c>
      <c r="C31">
        <v>-17.726511290000001</v>
      </c>
      <c r="D31" t="s">
        <v>111</v>
      </c>
      <c r="E31" s="3">
        <v>46203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440359</v>
      </c>
      <c r="P31">
        <v>1</v>
      </c>
      <c r="Q31">
        <v>1001</v>
      </c>
      <c r="T31">
        <v>206</v>
      </c>
      <c r="V31" t="s">
        <v>70</v>
      </c>
      <c r="W31" t="s">
        <v>67</v>
      </c>
      <c r="X31" t="s">
        <v>113</v>
      </c>
      <c r="Y31">
        <v>30</v>
      </c>
      <c r="AC31" t="s">
        <v>69</v>
      </c>
      <c r="AF31" t="s">
        <v>69</v>
      </c>
      <c r="AH31" t="s">
        <v>69</v>
      </c>
      <c r="AI31" t="s">
        <v>69</v>
      </c>
      <c r="AM31">
        <v>0.87000000000000011</v>
      </c>
      <c r="AN31" s="2">
        <v>0.12305599356893482</v>
      </c>
      <c r="AR31">
        <v>0.15</v>
      </c>
      <c r="AS31">
        <v>9.69</v>
      </c>
      <c r="AT31">
        <v>0.70000000000000007</v>
      </c>
      <c r="AU31">
        <v>5.6899999999999995</v>
      </c>
      <c r="BB31">
        <v>24.620211427458141</v>
      </c>
      <c r="BD31" s="2">
        <f t="shared" si="0"/>
        <v>14.620211427458141</v>
      </c>
      <c r="BF31">
        <v>5.29</v>
      </c>
      <c r="BG31">
        <v>7.09</v>
      </c>
      <c r="BH31" s="2">
        <v>13.385779316678622</v>
      </c>
    </row>
    <row r="32" spans="1:60" x14ac:dyDescent="0.25">
      <c r="A32">
        <v>16</v>
      </c>
      <c r="B32">
        <v>-52.610315300000003</v>
      </c>
      <c r="C32">
        <v>-17.731635170000001</v>
      </c>
      <c r="D32" t="s">
        <v>114</v>
      </c>
      <c r="E32" s="3">
        <v>46203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440359</v>
      </c>
      <c r="P32">
        <v>1</v>
      </c>
      <c r="Q32">
        <v>1001</v>
      </c>
      <c r="T32">
        <v>207</v>
      </c>
      <c r="V32" t="s">
        <v>66</v>
      </c>
      <c r="W32" t="s">
        <v>67</v>
      </c>
      <c r="X32" t="s">
        <v>115</v>
      </c>
      <c r="Y32">
        <v>31</v>
      </c>
      <c r="AC32" t="s">
        <v>69</v>
      </c>
      <c r="AF32" t="s">
        <v>69</v>
      </c>
      <c r="AH32" t="s">
        <v>69</v>
      </c>
      <c r="AI32" t="s">
        <v>69</v>
      </c>
      <c r="AM32">
        <v>0.78000000000000025</v>
      </c>
      <c r="AN32" s="2">
        <v>0.45574003648393963</v>
      </c>
      <c r="AR32">
        <v>1.03</v>
      </c>
      <c r="AS32">
        <v>4.8</v>
      </c>
      <c r="AT32">
        <v>0.68</v>
      </c>
      <c r="AU32">
        <v>2.9299999999999997</v>
      </c>
      <c r="BB32">
        <v>32.381768189283967</v>
      </c>
      <c r="BD32" s="2">
        <f t="shared" si="0"/>
        <v>22.381768189283967</v>
      </c>
      <c r="BF32">
        <v>4.76</v>
      </c>
      <c r="BG32">
        <v>6.87</v>
      </c>
      <c r="BH32" s="2">
        <v>16.877930794905186</v>
      </c>
    </row>
    <row r="33" spans="1:60" x14ac:dyDescent="0.25">
      <c r="A33">
        <v>16</v>
      </c>
      <c r="B33">
        <v>-52.610315300000003</v>
      </c>
      <c r="C33">
        <v>-17.731635170000001</v>
      </c>
      <c r="D33" t="s">
        <v>114</v>
      </c>
      <c r="E33" s="3">
        <v>46203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440359</v>
      </c>
      <c r="P33">
        <v>1</v>
      </c>
      <c r="Q33">
        <v>1001</v>
      </c>
      <c r="T33">
        <v>207</v>
      </c>
      <c r="V33" t="s">
        <v>70</v>
      </c>
      <c r="W33" t="s">
        <v>67</v>
      </c>
      <c r="X33" t="s">
        <v>116</v>
      </c>
      <c r="Y33">
        <v>32</v>
      </c>
      <c r="AC33" t="s">
        <v>69</v>
      </c>
      <c r="AF33" t="s">
        <v>69</v>
      </c>
      <c r="AH33" t="s">
        <v>69</v>
      </c>
      <c r="AI33" t="s">
        <v>69</v>
      </c>
      <c r="AM33">
        <v>0.89000000000000012</v>
      </c>
      <c r="AN33" s="2">
        <v>0.28939801502643719</v>
      </c>
      <c r="AR33">
        <v>1.41</v>
      </c>
      <c r="AS33">
        <v>3.01</v>
      </c>
      <c r="AT33">
        <v>0.40999999999999986</v>
      </c>
      <c r="AU33">
        <v>1.29</v>
      </c>
      <c r="BB33">
        <v>25.884902523933871</v>
      </c>
      <c r="BD33" s="2">
        <f t="shared" si="0"/>
        <v>15.884902523933871</v>
      </c>
      <c r="BF33">
        <v>4.57</v>
      </c>
      <c r="BG33">
        <v>6.93</v>
      </c>
      <c r="BH33" s="2">
        <v>15.843905231837201</v>
      </c>
    </row>
    <row r="34" spans="1:60" x14ac:dyDescent="0.25">
      <c r="A34">
        <v>17</v>
      </c>
      <c r="B34">
        <v>-52.611115009999999</v>
      </c>
      <c r="C34">
        <v>-17.73521839</v>
      </c>
      <c r="D34" t="s">
        <v>117</v>
      </c>
      <c r="E34" s="3">
        <v>46203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440359</v>
      </c>
      <c r="P34">
        <v>1</v>
      </c>
      <c r="Q34">
        <v>1001</v>
      </c>
      <c r="T34">
        <v>208</v>
      </c>
      <c r="V34" t="s">
        <v>66</v>
      </c>
      <c r="W34" t="s">
        <v>67</v>
      </c>
      <c r="X34" t="s">
        <v>118</v>
      </c>
      <c r="Y34">
        <v>33</v>
      </c>
      <c r="AC34" t="s">
        <v>69</v>
      </c>
      <c r="AE34" t="s">
        <v>69</v>
      </c>
      <c r="AF34" t="s">
        <v>69</v>
      </c>
      <c r="AH34" t="s">
        <v>69</v>
      </c>
      <c r="AI34" t="s">
        <v>69</v>
      </c>
      <c r="AM34">
        <v>0.69</v>
      </c>
      <c r="AN34" s="2">
        <v>0.45574003648393963</v>
      </c>
      <c r="AR34">
        <v>0.68</v>
      </c>
      <c r="AS34">
        <v>4.87</v>
      </c>
      <c r="AT34">
        <v>1.87</v>
      </c>
      <c r="AU34">
        <v>3.76</v>
      </c>
      <c r="BB34">
        <v>26.314920788198378</v>
      </c>
      <c r="BC34" s="2">
        <v>12.4494642784849</v>
      </c>
      <c r="BD34" s="2">
        <f t="shared" si="0"/>
        <v>12.4494642784849</v>
      </c>
      <c r="BF34">
        <v>4.75</v>
      </c>
      <c r="BG34">
        <v>6.86</v>
      </c>
      <c r="BH34" s="2">
        <v>17.056713815874541</v>
      </c>
    </row>
    <row r="35" spans="1:60" x14ac:dyDescent="0.25">
      <c r="A35">
        <v>17</v>
      </c>
      <c r="B35">
        <v>-52.611115009999999</v>
      </c>
      <c r="C35">
        <v>-17.73521839</v>
      </c>
      <c r="D35" t="s">
        <v>117</v>
      </c>
      <c r="E35" s="3">
        <v>46203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440359</v>
      </c>
      <c r="P35">
        <v>1</v>
      </c>
      <c r="Q35">
        <v>1001</v>
      </c>
      <c r="T35">
        <v>208</v>
      </c>
      <c r="V35" t="s">
        <v>70</v>
      </c>
      <c r="W35" t="s">
        <v>67</v>
      </c>
      <c r="X35" t="s">
        <v>119</v>
      </c>
      <c r="Y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0.56999999999999984</v>
      </c>
      <c r="AN35" s="2">
        <v>0.28939801502643719</v>
      </c>
      <c r="AR35">
        <v>1.0900000000000001</v>
      </c>
      <c r="AS35">
        <v>3.9800000000000004</v>
      </c>
      <c r="AT35">
        <v>1.9500000000000002</v>
      </c>
      <c r="AU35">
        <v>1.56</v>
      </c>
      <c r="BB35">
        <v>23.807075082980479</v>
      </c>
      <c r="BD35" s="2">
        <f t="shared" si="0"/>
        <v>13.807075082980479</v>
      </c>
      <c r="BF35">
        <v>4.67</v>
      </c>
      <c r="BG35">
        <v>6.94</v>
      </c>
      <c r="BH35" s="2">
        <v>15.677834482695374</v>
      </c>
    </row>
    <row r="36" spans="1:60" x14ac:dyDescent="0.25">
      <c r="A36">
        <v>18</v>
      </c>
      <c r="B36">
        <v>-52.615537959999997</v>
      </c>
      <c r="C36">
        <v>-17.738119059999999</v>
      </c>
      <c r="D36" t="s">
        <v>120</v>
      </c>
      <c r="E36" s="3">
        <v>46203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440359</v>
      </c>
      <c r="P36">
        <v>1</v>
      </c>
      <c r="Q36">
        <v>1001</v>
      </c>
      <c r="T36">
        <v>209</v>
      </c>
      <c r="V36" t="s">
        <v>66</v>
      </c>
      <c r="W36" t="s">
        <v>67</v>
      </c>
      <c r="X36" t="s">
        <v>121</v>
      </c>
      <c r="Y36">
        <v>35</v>
      </c>
      <c r="AC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0.60000000000000009</v>
      </c>
      <c r="AN36" s="2">
        <v>0.45574003648393963</v>
      </c>
      <c r="AR36">
        <v>1.29</v>
      </c>
      <c r="AS36">
        <v>4.37</v>
      </c>
      <c r="AT36">
        <v>0.70000000000000007</v>
      </c>
      <c r="AU36">
        <v>2.88</v>
      </c>
      <c r="BB36">
        <v>31.998529932894058</v>
      </c>
      <c r="BC36" s="2">
        <v>12.268407008182299</v>
      </c>
      <c r="BD36" s="2">
        <f t="shared" si="0"/>
        <v>12.268407008182299</v>
      </c>
      <c r="BF36">
        <v>4.55</v>
      </c>
      <c r="BG36">
        <v>6.84</v>
      </c>
      <c r="BH36" s="2">
        <v>17.41998130816366</v>
      </c>
    </row>
    <row r="37" spans="1:60" x14ac:dyDescent="0.25">
      <c r="A37">
        <v>18</v>
      </c>
      <c r="B37">
        <v>-52.615537959999997</v>
      </c>
      <c r="C37">
        <v>-17.738119059999999</v>
      </c>
      <c r="D37" t="s">
        <v>120</v>
      </c>
      <c r="E37" s="3">
        <v>46203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440359</v>
      </c>
      <c r="P37">
        <v>1</v>
      </c>
      <c r="Q37">
        <v>1001</v>
      </c>
      <c r="T37">
        <v>209</v>
      </c>
      <c r="V37" t="s">
        <v>70</v>
      </c>
      <c r="W37" t="s">
        <v>67</v>
      </c>
      <c r="X37" t="s">
        <v>122</v>
      </c>
      <c r="Y37">
        <v>36</v>
      </c>
      <c r="AC37" t="s">
        <v>69</v>
      </c>
      <c r="AF37" t="s">
        <v>69</v>
      </c>
      <c r="AH37" t="s">
        <v>69</v>
      </c>
      <c r="AI37" t="s">
        <v>69</v>
      </c>
      <c r="AM37">
        <v>0.54</v>
      </c>
      <c r="AN37" s="2">
        <v>0.28939801502643719</v>
      </c>
      <c r="AR37">
        <v>1.59</v>
      </c>
      <c r="AS37">
        <v>3.46</v>
      </c>
      <c r="AT37">
        <v>0.6</v>
      </c>
      <c r="AU37">
        <v>1.56</v>
      </c>
      <c r="BB37">
        <v>27.079695519705378</v>
      </c>
      <c r="BD37" s="2">
        <f t="shared" si="0"/>
        <v>17.079695519705378</v>
      </c>
      <c r="BF37">
        <v>4.51</v>
      </c>
      <c r="BG37">
        <v>6.9</v>
      </c>
      <c r="BH37" s="2">
        <v>16.352747048248023</v>
      </c>
    </row>
    <row r="38" spans="1:60" x14ac:dyDescent="0.25">
      <c r="A38">
        <v>19</v>
      </c>
      <c r="B38">
        <v>-52.617919559999997</v>
      </c>
      <c r="C38">
        <v>-17.743399159999999</v>
      </c>
      <c r="D38" t="s">
        <v>123</v>
      </c>
      <c r="E38" s="3">
        <v>46203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440359</v>
      </c>
      <c r="P38">
        <v>1</v>
      </c>
      <c r="Q38">
        <v>1001</v>
      </c>
      <c r="T38">
        <v>210</v>
      </c>
      <c r="V38" t="s">
        <v>66</v>
      </c>
      <c r="W38" t="s">
        <v>67</v>
      </c>
      <c r="X38" t="s">
        <v>124</v>
      </c>
      <c r="Y38">
        <v>37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12.63</v>
      </c>
      <c r="AN38" s="2">
        <v>48.694926259159629</v>
      </c>
      <c r="AR38">
        <v>0.24</v>
      </c>
      <c r="AS38">
        <v>8.86</v>
      </c>
      <c r="AT38">
        <v>16.57</v>
      </c>
      <c r="AU38">
        <v>10.16</v>
      </c>
      <c r="BB38">
        <v>28.465418870742781</v>
      </c>
      <c r="BC38" s="2">
        <v>14.622151522116299</v>
      </c>
      <c r="BD38" s="2">
        <f t="shared" si="0"/>
        <v>14.622151522116299</v>
      </c>
      <c r="BF38">
        <v>5.52</v>
      </c>
      <c r="BG38">
        <v>7.07</v>
      </c>
      <c r="BH38" s="2">
        <v>13.670864623097938</v>
      </c>
    </row>
    <row r="39" spans="1:60" x14ac:dyDescent="0.25">
      <c r="A39">
        <v>19</v>
      </c>
      <c r="B39">
        <v>-52.617919559999997</v>
      </c>
      <c r="C39">
        <v>-17.743399159999999</v>
      </c>
      <c r="D39" t="s">
        <v>123</v>
      </c>
      <c r="E39" s="3">
        <v>46203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440359</v>
      </c>
      <c r="P39">
        <v>1</v>
      </c>
      <c r="Q39">
        <v>1001</v>
      </c>
      <c r="T39">
        <v>210</v>
      </c>
      <c r="V39" t="s">
        <v>70</v>
      </c>
      <c r="W39" t="s">
        <v>67</v>
      </c>
      <c r="X39" t="s">
        <v>125</v>
      </c>
      <c r="Y39">
        <v>38</v>
      </c>
      <c r="AC39" t="s">
        <v>69</v>
      </c>
      <c r="AF39" t="s">
        <v>69</v>
      </c>
      <c r="AH39" t="s">
        <v>69</v>
      </c>
      <c r="AI39" t="s">
        <v>69</v>
      </c>
      <c r="AM39">
        <v>15.71</v>
      </c>
      <c r="AN39" s="2">
        <v>56.346659246204744</v>
      </c>
      <c r="AR39">
        <v>0.13</v>
      </c>
      <c r="AS39">
        <v>9.32</v>
      </c>
      <c r="AT39">
        <v>14.219999999999999</v>
      </c>
      <c r="AU39">
        <v>9.41</v>
      </c>
      <c r="BB39">
        <v>29.502453802479689</v>
      </c>
      <c r="BD39" s="2">
        <f t="shared" si="0"/>
        <v>19.502453802479689</v>
      </c>
      <c r="BF39">
        <v>5.82</v>
      </c>
      <c r="BG39">
        <v>7.22</v>
      </c>
      <c r="BH39" s="2">
        <v>11.672222787844913</v>
      </c>
    </row>
    <row r="40" spans="1:60" x14ac:dyDescent="0.25">
      <c r="A40">
        <v>20</v>
      </c>
      <c r="B40">
        <v>-52.613181679999997</v>
      </c>
      <c r="C40">
        <v>-17.7447865</v>
      </c>
      <c r="D40" t="s">
        <v>126</v>
      </c>
      <c r="E40" s="3">
        <v>46203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440359</v>
      </c>
      <c r="P40">
        <v>1</v>
      </c>
      <c r="Q40">
        <v>1001</v>
      </c>
      <c r="T40">
        <v>211</v>
      </c>
      <c r="V40" t="s">
        <v>66</v>
      </c>
      <c r="W40" t="s">
        <v>67</v>
      </c>
      <c r="X40" t="s">
        <v>127</v>
      </c>
      <c r="Y40">
        <v>39</v>
      </c>
      <c r="AC40" t="s">
        <v>69</v>
      </c>
      <c r="AF40" t="s">
        <v>69</v>
      </c>
      <c r="AH40" t="s">
        <v>69</v>
      </c>
      <c r="AI40" t="s">
        <v>69</v>
      </c>
      <c r="AM40">
        <v>0.77</v>
      </c>
      <c r="AN40" s="2">
        <v>1.6201341866864563</v>
      </c>
      <c r="AR40">
        <v>2.0699999999999998</v>
      </c>
      <c r="AS40">
        <v>3.66</v>
      </c>
      <c r="AT40">
        <v>1.48</v>
      </c>
      <c r="AU40">
        <v>3.11</v>
      </c>
      <c r="BB40">
        <v>32.215965094094287</v>
      </c>
      <c r="BD40" s="2">
        <f t="shared" si="0"/>
        <v>22.215965094094287</v>
      </c>
      <c r="BF40">
        <v>4.4400000000000004</v>
      </c>
      <c r="BG40">
        <v>6.64</v>
      </c>
      <c r="BH40" s="2">
        <v>21.506557710400507</v>
      </c>
    </row>
    <row r="41" spans="1:60" x14ac:dyDescent="0.25">
      <c r="A41">
        <v>20</v>
      </c>
      <c r="B41">
        <v>-52.613181679999997</v>
      </c>
      <c r="C41">
        <v>-17.7447865</v>
      </c>
      <c r="D41" t="s">
        <v>126</v>
      </c>
      <c r="E41" s="3">
        <v>46203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440359</v>
      </c>
      <c r="P41">
        <v>1</v>
      </c>
      <c r="Q41">
        <v>1001</v>
      </c>
      <c r="T41">
        <v>211</v>
      </c>
      <c r="V41" t="s">
        <v>70</v>
      </c>
      <c r="W41" t="s">
        <v>67</v>
      </c>
      <c r="X41" t="s">
        <v>128</v>
      </c>
      <c r="Y41">
        <v>40</v>
      </c>
      <c r="AC41" t="s">
        <v>69</v>
      </c>
      <c r="AF41" t="s">
        <v>69</v>
      </c>
      <c r="AH41" t="s">
        <v>69</v>
      </c>
      <c r="AI41" t="s">
        <v>69</v>
      </c>
      <c r="AM41">
        <v>0.69</v>
      </c>
      <c r="AN41" s="2">
        <v>-4.3286027888567565E-2</v>
      </c>
      <c r="AR41">
        <v>3.46</v>
      </c>
      <c r="AS41">
        <v>1.02</v>
      </c>
      <c r="AT41">
        <v>0.59000000000000008</v>
      </c>
      <c r="AU41">
        <v>0.54</v>
      </c>
      <c r="BB41">
        <v>21.24316911632565</v>
      </c>
      <c r="BD41" s="2">
        <f t="shared" si="0"/>
        <v>11.24316911632565</v>
      </c>
      <c r="BF41">
        <v>4.29</v>
      </c>
      <c r="BG41">
        <v>6.79</v>
      </c>
      <c r="BH41" s="2">
        <v>18.362359654363456</v>
      </c>
    </row>
    <row r="42" spans="1:60" x14ac:dyDescent="0.25">
      <c r="A42">
        <v>21</v>
      </c>
      <c r="B42">
        <v>-52.609734060000001</v>
      </c>
      <c r="C42">
        <v>-17.743402880000001</v>
      </c>
      <c r="D42" t="s">
        <v>129</v>
      </c>
      <c r="E42" s="3">
        <v>46203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440359</v>
      </c>
      <c r="P42">
        <v>1</v>
      </c>
      <c r="Q42">
        <v>1001</v>
      </c>
      <c r="T42">
        <v>212</v>
      </c>
      <c r="V42" t="s">
        <v>66</v>
      </c>
      <c r="W42" t="s">
        <v>67</v>
      </c>
      <c r="X42" t="s">
        <v>130</v>
      </c>
      <c r="Y42">
        <v>41</v>
      </c>
      <c r="AC42" t="s">
        <v>69</v>
      </c>
      <c r="AF42" t="s">
        <v>69</v>
      </c>
      <c r="AH42" t="s">
        <v>69</v>
      </c>
      <c r="AI42" t="s">
        <v>69</v>
      </c>
      <c r="AM42">
        <v>0.75</v>
      </c>
      <c r="AN42" s="2">
        <v>5.6123427016665133</v>
      </c>
      <c r="AR42">
        <v>1.59</v>
      </c>
      <c r="AS42">
        <v>4.6000000000000005</v>
      </c>
      <c r="AT42">
        <v>1.34</v>
      </c>
      <c r="AU42">
        <v>4.16</v>
      </c>
      <c r="BB42">
        <v>29.497552397115271</v>
      </c>
      <c r="BD42" s="2">
        <f t="shared" si="0"/>
        <v>19.497552397115271</v>
      </c>
      <c r="BF42">
        <v>4.47</v>
      </c>
      <c r="BG42">
        <v>6.73</v>
      </c>
      <c r="BH42" s="2">
        <v>19.560747867561467</v>
      </c>
    </row>
    <row r="43" spans="1:60" x14ac:dyDescent="0.25">
      <c r="A43">
        <v>21</v>
      </c>
      <c r="B43">
        <v>-52.609734060000001</v>
      </c>
      <c r="C43">
        <v>-17.743402880000001</v>
      </c>
      <c r="D43" t="s">
        <v>129</v>
      </c>
      <c r="E43" s="3">
        <v>46203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440359</v>
      </c>
      <c r="P43">
        <v>1</v>
      </c>
      <c r="Q43">
        <v>1001</v>
      </c>
      <c r="T43">
        <v>212</v>
      </c>
      <c r="V43" t="s">
        <v>70</v>
      </c>
      <c r="W43" t="s">
        <v>67</v>
      </c>
      <c r="X43" t="s">
        <v>131</v>
      </c>
      <c r="Y43">
        <v>42</v>
      </c>
      <c r="AC43" t="s">
        <v>69</v>
      </c>
      <c r="AF43" t="s">
        <v>69</v>
      </c>
      <c r="AH43" t="s">
        <v>69</v>
      </c>
      <c r="AI43" t="s">
        <v>69</v>
      </c>
      <c r="AM43">
        <v>0.64999999999999991</v>
      </c>
      <c r="AN43" s="2">
        <v>4.6142905729214991</v>
      </c>
      <c r="AR43">
        <v>2.7600000000000002</v>
      </c>
      <c r="AS43">
        <v>3.92</v>
      </c>
      <c r="AT43">
        <v>0.52</v>
      </c>
      <c r="AU43">
        <v>1.6700000000000002</v>
      </c>
      <c r="BB43">
        <v>17.60877098285621</v>
      </c>
      <c r="BD43" s="2">
        <f t="shared" si="0"/>
        <v>7.6087709828562105</v>
      </c>
      <c r="BF43">
        <v>4.3600000000000003</v>
      </c>
      <c r="BG43">
        <v>6.76</v>
      </c>
      <c r="BH43" s="2">
        <v>18.952083987057659</v>
      </c>
    </row>
    <row r="44" spans="1:60" x14ac:dyDescent="0.25">
      <c r="A44">
        <v>22</v>
      </c>
      <c r="B44">
        <v>-52.610650819999996</v>
      </c>
      <c r="C44">
        <v>-17.745895139999998</v>
      </c>
      <c r="D44" t="s">
        <v>132</v>
      </c>
      <c r="E44" s="3">
        <v>46203</v>
      </c>
      <c r="F44" t="s">
        <v>62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440359</v>
      </c>
      <c r="P44">
        <v>1</v>
      </c>
      <c r="Q44">
        <v>1001</v>
      </c>
      <c r="T44">
        <v>213</v>
      </c>
      <c r="V44" t="s">
        <v>66</v>
      </c>
      <c r="W44" t="s">
        <v>67</v>
      </c>
      <c r="X44" t="s">
        <v>133</v>
      </c>
      <c r="Y44">
        <v>43</v>
      </c>
      <c r="AC44" t="s">
        <v>69</v>
      </c>
      <c r="AE44" t="s">
        <v>69</v>
      </c>
      <c r="AF44" t="s">
        <v>69</v>
      </c>
      <c r="AH44" t="s">
        <v>69</v>
      </c>
      <c r="AI44" t="s">
        <v>69</v>
      </c>
      <c r="AM44">
        <v>0.89000000000000012</v>
      </c>
      <c r="AN44" s="2">
        <v>5.2796586587515089</v>
      </c>
      <c r="AR44">
        <v>2.74</v>
      </c>
      <c r="AS44">
        <v>3.53</v>
      </c>
      <c r="AT44">
        <v>1.1300000000000001</v>
      </c>
      <c r="AU44">
        <v>1.7199999999999998</v>
      </c>
      <c r="BB44">
        <v>23.045743940778749</v>
      </c>
      <c r="BC44" s="2">
        <v>12.268407008182299</v>
      </c>
      <c r="BD44" s="2">
        <f t="shared" si="0"/>
        <v>12.268407008182299</v>
      </c>
      <c r="BF44">
        <v>4.3</v>
      </c>
      <c r="BG44">
        <v>6.57</v>
      </c>
      <c r="BH44" s="2">
        <v>23.152827201577164</v>
      </c>
    </row>
    <row r="45" spans="1:60" x14ac:dyDescent="0.25">
      <c r="A45">
        <v>22</v>
      </c>
      <c r="B45">
        <v>-52.610650819999996</v>
      </c>
      <c r="C45">
        <v>-17.745895139999998</v>
      </c>
      <c r="D45" t="s">
        <v>132</v>
      </c>
      <c r="E45" s="3">
        <v>46203</v>
      </c>
      <c r="F45" t="s">
        <v>62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440359</v>
      </c>
      <c r="P45">
        <v>1</v>
      </c>
      <c r="Q45">
        <v>1001</v>
      </c>
      <c r="T45">
        <v>213</v>
      </c>
      <c r="V45" t="s">
        <v>70</v>
      </c>
      <c r="W45" t="s">
        <v>67</v>
      </c>
      <c r="X45" t="s">
        <v>134</v>
      </c>
      <c r="Y45">
        <v>44</v>
      </c>
      <c r="AC45" t="s">
        <v>69</v>
      </c>
      <c r="AF45" t="s">
        <v>69</v>
      </c>
      <c r="AH45" t="s">
        <v>69</v>
      </c>
      <c r="AI45" t="s">
        <v>69</v>
      </c>
      <c r="AM45">
        <v>0.95000000000000018</v>
      </c>
      <c r="AN45" s="2">
        <v>5.1133166372940071</v>
      </c>
      <c r="AR45">
        <v>3.57</v>
      </c>
      <c r="AS45">
        <v>2.3000000000000003</v>
      </c>
      <c r="AT45">
        <v>0.48</v>
      </c>
      <c r="AU45">
        <v>0.59</v>
      </c>
      <c r="BB45">
        <v>20.358928622028689</v>
      </c>
      <c r="BD45" s="2">
        <f t="shared" si="0"/>
        <v>10.358928622028689</v>
      </c>
      <c r="BF45">
        <v>4.26</v>
      </c>
      <c r="BG45">
        <v>6.62</v>
      </c>
      <c r="BH45" s="2">
        <v>21.964596308665367</v>
      </c>
    </row>
    <row r="46" spans="1:60" x14ac:dyDescent="0.25">
      <c r="A46">
        <v>23</v>
      </c>
      <c r="B46">
        <v>-52.604916780000003</v>
      </c>
      <c r="C46">
        <v>-17.742586190000001</v>
      </c>
      <c r="D46" t="s">
        <v>135</v>
      </c>
      <c r="E46" s="3">
        <v>46203</v>
      </c>
      <c r="F46" t="s">
        <v>62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440359</v>
      </c>
      <c r="P46">
        <v>1</v>
      </c>
      <c r="Q46">
        <v>1001</v>
      </c>
      <c r="T46">
        <v>214</v>
      </c>
      <c r="V46" t="s">
        <v>66</v>
      </c>
      <c r="W46" t="s">
        <v>67</v>
      </c>
      <c r="X46" t="s">
        <v>136</v>
      </c>
      <c r="Y46">
        <v>45</v>
      </c>
      <c r="AC46" t="s">
        <v>69</v>
      </c>
      <c r="AE46" t="s">
        <v>69</v>
      </c>
      <c r="AF46" t="s">
        <v>69</v>
      </c>
      <c r="AH46" t="s">
        <v>69</v>
      </c>
      <c r="AI46" t="s">
        <v>69</v>
      </c>
      <c r="AM46">
        <v>0.68000000000000016</v>
      </c>
      <c r="AN46" s="2">
        <v>4.6142905729214991</v>
      </c>
      <c r="AR46">
        <v>0.73</v>
      </c>
      <c r="AS46">
        <v>5.0600000000000005</v>
      </c>
      <c r="AT46">
        <v>0.8</v>
      </c>
      <c r="AU46">
        <v>4.66</v>
      </c>
      <c r="BB46">
        <v>33.534132086326508</v>
      </c>
      <c r="BC46" s="2">
        <v>13.354750629998</v>
      </c>
      <c r="BD46" s="2">
        <f t="shared" si="0"/>
        <v>13.354750629998</v>
      </c>
      <c r="BF46">
        <v>4.6900000000000004</v>
      </c>
      <c r="BG46">
        <v>6.81</v>
      </c>
      <c r="BH46" s="2">
        <v>17.979440279988168</v>
      </c>
    </row>
    <row r="47" spans="1:60" x14ac:dyDescent="0.25">
      <c r="A47">
        <v>23</v>
      </c>
      <c r="B47">
        <v>-52.604916780000003</v>
      </c>
      <c r="C47">
        <v>-17.742586190000001</v>
      </c>
      <c r="D47" t="s">
        <v>135</v>
      </c>
      <c r="E47" s="3">
        <v>46203</v>
      </c>
      <c r="F47" t="s">
        <v>62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440359</v>
      </c>
      <c r="P47">
        <v>1</v>
      </c>
      <c r="Q47">
        <v>1001</v>
      </c>
      <c r="T47">
        <v>214</v>
      </c>
      <c r="V47" t="s">
        <v>70</v>
      </c>
      <c r="W47" t="s">
        <v>67</v>
      </c>
      <c r="X47" t="s">
        <v>137</v>
      </c>
      <c r="Y47">
        <v>46</v>
      </c>
      <c r="AC47" t="s">
        <v>69</v>
      </c>
      <c r="AF47" t="s">
        <v>69</v>
      </c>
      <c r="AH47" t="s">
        <v>69</v>
      </c>
      <c r="AI47" t="s">
        <v>69</v>
      </c>
      <c r="AM47">
        <v>0.85999999999999988</v>
      </c>
      <c r="AN47" s="2">
        <v>4.7806325943790018</v>
      </c>
      <c r="AR47">
        <v>1.41</v>
      </c>
      <c r="AS47">
        <v>2.86</v>
      </c>
      <c r="AT47">
        <v>0.42000000000000004</v>
      </c>
      <c r="AU47">
        <v>2.36</v>
      </c>
      <c r="BB47">
        <v>26.730889962620441</v>
      </c>
      <c r="BD47" s="2">
        <f t="shared" si="0"/>
        <v>16.730889962620441</v>
      </c>
      <c r="BF47">
        <v>4.5599999999999996</v>
      </c>
      <c r="BG47">
        <v>6.9</v>
      </c>
      <c r="BH47" s="2">
        <v>16.352747048248023</v>
      </c>
    </row>
    <row r="48" spans="1:60" x14ac:dyDescent="0.25">
      <c r="A48">
        <v>24</v>
      </c>
      <c r="B48">
        <v>-52.604143200000003</v>
      </c>
      <c r="C48">
        <v>-17.745899739999999</v>
      </c>
      <c r="D48" t="s">
        <v>138</v>
      </c>
      <c r="E48" s="3">
        <v>46203</v>
      </c>
      <c r="F48" t="s">
        <v>62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440359</v>
      </c>
      <c r="P48">
        <v>1</v>
      </c>
      <c r="Q48">
        <v>1001</v>
      </c>
      <c r="T48">
        <v>215</v>
      </c>
      <c r="V48" t="s">
        <v>66</v>
      </c>
      <c r="W48" t="s">
        <v>67</v>
      </c>
      <c r="X48" t="s">
        <v>139</v>
      </c>
      <c r="Y48">
        <v>47</v>
      </c>
      <c r="AC48" t="s">
        <v>69</v>
      </c>
      <c r="AF48" t="s">
        <v>69</v>
      </c>
      <c r="AH48" t="s">
        <v>69</v>
      </c>
      <c r="AI48" t="s">
        <v>69</v>
      </c>
      <c r="AM48">
        <v>0.75</v>
      </c>
      <c r="AN48" s="2">
        <v>4.7806325943790018</v>
      </c>
      <c r="AR48">
        <v>0.68</v>
      </c>
      <c r="AS48">
        <v>5.4799999999999995</v>
      </c>
      <c r="AT48">
        <v>0.8</v>
      </c>
      <c r="AU48">
        <v>5.0600000000000005</v>
      </c>
      <c r="BB48">
        <v>29.99967656493342</v>
      </c>
      <c r="BD48" s="2">
        <f t="shared" si="0"/>
        <v>19.99967656493342</v>
      </c>
      <c r="BF48">
        <v>4.7699999999999996</v>
      </c>
      <c r="BG48">
        <v>6.85</v>
      </c>
      <c r="BH48" s="2">
        <v>17.237390633481372</v>
      </c>
    </row>
    <row r="49" spans="1:60" x14ac:dyDescent="0.25">
      <c r="A49">
        <v>24</v>
      </c>
      <c r="B49">
        <v>-52.604143200000003</v>
      </c>
      <c r="C49">
        <v>-17.745899739999999</v>
      </c>
      <c r="D49" t="s">
        <v>138</v>
      </c>
      <c r="E49" s="3">
        <v>46203</v>
      </c>
      <c r="F49" t="s">
        <v>62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440359</v>
      </c>
      <c r="P49">
        <v>1</v>
      </c>
      <c r="Q49">
        <v>1001</v>
      </c>
      <c r="T49">
        <v>215</v>
      </c>
      <c r="V49" t="s">
        <v>70</v>
      </c>
      <c r="W49" t="s">
        <v>67</v>
      </c>
      <c r="X49" t="s">
        <v>140</v>
      </c>
      <c r="Y49">
        <v>48</v>
      </c>
      <c r="AC49" t="s">
        <v>69</v>
      </c>
      <c r="AF49" t="s">
        <v>69</v>
      </c>
      <c r="AH49" t="s">
        <v>69</v>
      </c>
      <c r="AI49" t="s">
        <v>69</v>
      </c>
      <c r="AM49">
        <v>0.75</v>
      </c>
      <c r="AN49" s="2">
        <v>4.6142905729214991</v>
      </c>
      <c r="AR49">
        <v>1.03</v>
      </c>
      <c r="AS49">
        <v>3.69</v>
      </c>
      <c r="AT49">
        <v>0.36</v>
      </c>
      <c r="AU49">
        <v>2.9499999999999997</v>
      </c>
      <c r="BB49">
        <v>25.939339298046431</v>
      </c>
      <c r="BD49" s="2">
        <f t="shared" si="0"/>
        <v>15.939339298046431</v>
      </c>
      <c r="BF49">
        <v>4.67</v>
      </c>
      <c r="BG49">
        <v>6.93</v>
      </c>
      <c r="BH49" s="2">
        <v>15.843905231837201</v>
      </c>
    </row>
    <row r="50" spans="1:60" x14ac:dyDescent="0.25">
      <c r="A50">
        <v>25</v>
      </c>
      <c r="B50">
        <v>-52.608925499999998</v>
      </c>
      <c r="C50">
        <v>-17.75155479</v>
      </c>
      <c r="D50" t="s">
        <v>141</v>
      </c>
      <c r="E50" s="3">
        <v>46203</v>
      </c>
      <c r="F50" t="s">
        <v>62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440359</v>
      </c>
      <c r="P50">
        <v>1</v>
      </c>
      <c r="Q50">
        <v>1001</v>
      </c>
      <c r="T50">
        <v>216</v>
      </c>
      <c r="V50" t="s">
        <v>66</v>
      </c>
      <c r="W50" t="s">
        <v>67</v>
      </c>
      <c r="X50" t="s">
        <v>142</v>
      </c>
      <c r="Y50">
        <v>49</v>
      </c>
      <c r="AC50" t="s">
        <v>69</v>
      </c>
      <c r="AE50" t="s">
        <v>69</v>
      </c>
      <c r="AF50" t="s">
        <v>69</v>
      </c>
      <c r="AH50" t="s">
        <v>69</v>
      </c>
      <c r="AI50" t="s">
        <v>69</v>
      </c>
      <c r="AM50">
        <v>0.60999999999999988</v>
      </c>
      <c r="AN50" s="2">
        <v>5.4460006802090106</v>
      </c>
      <c r="AR50">
        <v>0.99</v>
      </c>
      <c r="AS50">
        <v>4.82</v>
      </c>
      <c r="AT50">
        <v>0.66</v>
      </c>
      <c r="AU50">
        <v>3.9400000000000004</v>
      </c>
      <c r="BB50">
        <v>30.70633811883323</v>
      </c>
      <c r="BC50" s="2">
        <v>11.7252351972745</v>
      </c>
      <c r="BD50" s="2">
        <f t="shared" si="0"/>
        <v>11.7252351972745</v>
      </c>
      <c r="BF50">
        <v>4.62</v>
      </c>
      <c r="BG50">
        <v>6.85</v>
      </c>
      <c r="BH50" s="2">
        <v>17.237390633481372</v>
      </c>
    </row>
    <row r="51" spans="1:60" x14ac:dyDescent="0.25">
      <c r="A51">
        <v>25</v>
      </c>
      <c r="B51">
        <v>-52.608925499999998</v>
      </c>
      <c r="C51">
        <v>-17.75155479</v>
      </c>
      <c r="D51" t="s">
        <v>141</v>
      </c>
      <c r="E51" s="3">
        <v>46203</v>
      </c>
      <c r="F51" t="s">
        <v>62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440359</v>
      </c>
      <c r="P51">
        <v>1</v>
      </c>
      <c r="Q51">
        <v>1001</v>
      </c>
      <c r="T51">
        <v>216</v>
      </c>
      <c r="V51" t="s">
        <v>70</v>
      </c>
      <c r="W51" t="s">
        <v>67</v>
      </c>
      <c r="X51" t="s">
        <v>143</v>
      </c>
      <c r="Y51">
        <v>50</v>
      </c>
      <c r="AC51" t="s">
        <v>69</v>
      </c>
      <c r="AF51" t="s">
        <v>69</v>
      </c>
      <c r="AH51" t="s">
        <v>69</v>
      </c>
      <c r="AI51" t="s">
        <v>69</v>
      </c>
      <c r="AM51">
        <v>0.73</v>
      </c>
      <c r="AN51" s="2">
        <v>4.4479485514639965</v>
      </c>
      <c r="AR51">
        <v>0.85000000000000009</v>
      </c>
      <c r="AS51">
        <v>4.3099999999999996</v>
      </c>
      <c r="AT51">
        <v>0.25</v>
      </c>
      <c r="AU51">
        <v>2.3400000000000003</v>
      </c>
      <c r="BB51">
        <v>24.408956744473731</v>
      </c>
      <c r="BD51" s="2">
        <f t="shared" si="0"/>
        <v>14.408956744473731</v>
      </c>
      <c r="BF51">
        <v>4.7</v>
      </c>
      <c r="BG51">
        <v>7</v>
      </c>
      <c r="BH51" s="2">
        <v>14.717332758541527</v>
      </c>
    </row>
    <row r="52" spans="1:60" x14ac:dyDescent="0.25">
      <c r="A52">
        <v>26</v>
      </c>
      <c r="B52">
        <v>-52.609848999999997</v>
      </c>
      <c r="C52">
        <v>-17.750657100000002</v>
      </c>
      <c r="D52" t="s">
        <v>144</v>
      </c>
      <c r="E52" s="3">
        <v>46203</v>
      </c>
      <c r="F52" t="s">
        <v>62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440359</v>
      </c>
      <c r="P52">
        <v>1</v>
      </c>
      <c r="Q52">
        <v>1001</v>
      </c>
      <c r="T52">
        <v>217</v>
      </c>
      <c r="V52" t="s">
        <v>66</v>
      </c>
      <c r="W52" t="s">
        <v>67</v>
      </c>
      <c r="X52" t="s">
        <v>145</v>
      </c>
      <c r="Y52">
        <v>51</v>
      </c>
      <c r="AC52" t="s">
        <v>69</v>
      </c>
      <c r="AF52" t="s">
        <v>69</v>
      </c>
      <c r="AH52" t="s">
        <v>69</v>
      </c>
      <c r="AI52" t="s">
        <v>69</v>
      </c>
      <c r="AM52">
        <v>0.45000000000000018</v>
      </c>
      <c r="AN52" s="2">
        <v>5.1133166372940071</v>
      </c>
      <c r="AR52">
        <v>1.55</v>
      </c>
      <c r="AS52">
        <v>3.91</v>
      </c>
      <c r="AT52">
        <v>0.61</v>
      </c>
      <c r="AU52">
        <v>2.82</v>
      </c>
      <c r="BB52">
        <v>30.410793873131642</v>
      </c>
      <c r="BD52" s="2">
        <f t="shared" si="0"/>
        <v>20.410793873131642</v>
      </c>
      <c r="BF52">
        <v>4.5</v>
      </c>
      <c r="BG52">
        <v>6.78</v>
      </c>
      <c r="BH52" s="2">
        <v>18.556866799286926</v>
      </c>
    </row>
    <row r="53" spans="1:60" x14ac:dyDescent="0.25">
      <c r="A53">
        <v>26</v>
      </c>
      <c r="B53">
        <v>-52.609848999999997</v>
      </c>
      <c r="C53">
        <v>-17.750657100000002</v>
      </c>
      <c r="D53" t="s">
        <v>144</v>
      </c>
      <c r="E53" s="3">
        <v>46203</v>
      </c>
      <c r="F53" t="s">
        <v>62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440359</v>
      </c>
      <c r="P53">
        <v>1</v>
      </c>
      <c r="Q53">
        <v>1001</v>
      </c>
      <c r="T53">
        <v>217</v>
      </c>
      <c r="V53" t="s">
        <v>70</v>
      </c>
      <c r="W53" t="s">
        <v>67</v>
      </c>
      <c r="X53" t="s">
        <v>146</v>
      </c>
      <c r="Y53">
        <v>52</v>
      </c>
      <c r="AC53" t="s">
        <v>69</v>
      </c>
      <c r="AF53" t="s">
        <v>69</v>
      </c>
      <c r="AH53" t="s">
        <v>69</v>
      </c>
      <c r="AI53" t="s">
        <v>69</v>
      </c>
      <c r="AM53">
        <v>0.48</v>
      </c>
      <c r="AN53" s="2">
        <v>4.6142905729214991</v>
      </c>
      <c r="AR53">
        <v>2.42</v>
      </c>
      <c r="AS53">
        <v>2.25</v>
      </c>
      <c r="AT53">
        <v>0.35000000000000003</v>
      </c>
      <c r="AU53">
        <v>1.23</v>
      </c>
      <c r="BB53">
        <v>29.003563604600259</v>
      </c>
      <c r="BD53" s="2">
        <f t="shared" si="0"/>
        <v>19.003563604600259</v>
      </c>
      <c r="BF53">
        <v>4.4000000000000004</v>
      </c>
      <c r="BG53">
        <v>6.8</v>
      </c>
      <c r="BH53" s="2">
        <v>18.169891271146678</v>
      </c>
    </row>
    <row r="54" spans="1:60" x14ac:dyDescent="0.25">
      <c r="A54">
        <v>27</v>
      </c>
      <c r="B54">
        <v>-52.600995490000003</v>
      </c>
      <c r="C54">
        <v>-17.747629490000001</v>
      </c>
      <c r="D54" t="s">
        <v>147</v>
      </c>
      <c r="E54" s="3">
        <v>46203</v>
      </c>
      <c r="F54" t="s">
        <v>62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440359</v>
      </c>
      <c r="P54">
        <v>1</v>
      </c>
      <c r="Q54">
        <v>1001</v>
      </c>
      <c r="T54">
        <v>218</v>
      </c>
      <c r="V54" t="s">
        <v>66</v>
      </c>
      <c r="W54" t="s">
        <v>67</v>
      </c>
      <c r="X54" t="s">
        <v>148</v>
      </c>
      <c r="Y54">
        <v>53</v>
      </c>
      <c r="AC54" t="s">
        <v>69</v>
      </c>
      <c r="AF54" t="s">
        <v>69</v>
      </c>
      <c r="AH54" t="s">
        <v>69</v>
      </c>
      <c r="AI54" t="s">
        <v>69</v>
      </c>
      <c r="AM54">
        <v>1.03</v>
      </c>
      <c r="AN54" s="2">
        <v>4.9469746158365044</v>
      </c>
      <c r="AR54">
        <v>1.29</v>
      </c>
      <c r="AS54">
        <v>3.23</v>
      </c>
      <c r="AT54">
        <v>0.7400000000000001</v>
      </c>
      <c r="AU54">
        <v>2.98</v>
      </c>
      <c r="BB54">
        <v>34.24965025585422</v>
      </c>
      <c r="BD54" s="2">
        <f t="shared" si="0"/>
        <v>24.24965025585422</v>
      </c>
      <c r="BF54">
        <v>4.5199999999999996</v>
      </c>
      <c r="BG54">
        <v>6.77</v>
      </c>
      <c r="BH54" s="2">
        <v>18.753434301927946</v>
      </c>
    </row>
    <row r="55" spans="1:60" x14ac:dyDescent="0.25">
      <c r="A55">
        <v>27</v>
      </c>
      <c r="B55">
        <v>-52.600995490000003</v>
      </c>
      <c r="C55">
        <v>-17.747629490000001</v>
      </c>
      <c r="D55" t="s">
        <v>147</v>
      </c>
      <c r="E55" s="3">
        <v>46203</v>
      </c>
      <c r="F55" t="s">
        <v>62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440359</v>
      </c>
      <c r="P55">
        <v>1</v>
      </c>
      <c r="Q55">
        <v>1001</v>
      </c>
      <c r="T55">
        <v>218</v>
      </c>
      <c r="V55" t="s">
        <v>70</v>
      </c>
      <c r="W55" t="s">
        <v>67</v>
      </c>
      <c r="X55" t="s">
        <v>149</v>
      </c>
      <c r="Y55">
        <v>54</v>
      </c>
      <c r="AC55" t="s">
        <v>69</v>
      </c>
      <c r="AF55" t="s">
        <v>69</v>
      </c>
      <c r="AH55" t="s">
        <v>69</v>
      </c>
      <c r="AI55" t="s">
        <v>69</v>
      </c>
      <c r="AM55">
        <v>1.1000000000000001</v>
      </c>
      <c r="AN55" s="2">
        <v>4.6142905729214991</v>
      </c>
      <c r="AR55">
        <v>2.3400000000000003</v>
      </c>
      <c r="AS55">
        <v>1.52</v>
      </c>
      <c r="AT55">
        <v>0.59000000000000008</v>
      </c>
      <c r="AU55">
        <v>2.08</v>
      </c>
      <c r="BB55">
        <v>26.726239670015961</v>
      </c>
      <c r="BD55" s="2">
        <f t="shared" si="0"/>
        <v>16.726239670015961</v>
      </c>
      <c r="BF55">
        <v>4.41</v>
      </c>
      <c r="BG55">
        <v>6.7</v>
      </c>
      <c r="BH55" s="2">
        <v>20.188959557144408</v>
      </c>
    </row>
    <row r="56" spans="1:60" x14ac:dyDescent="0.25">
      <c r="A56">
        <v>28</v>
      </c>
      <c r="B56">
        <v>-52.601814889364299</v>
      </c>
      <c r="C56">
        <v>-17.749551980328299</v>
      </c>
      <c r="D56" t="s">
        <v>150</v>
      </c>
      <c r="E56" s="3">
        <v>46203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440359</v>
      </c>
      <c r="P56">
        <v>1</v>
      </c>
      <c r="Q56">
        <v>1001</v>
      </c>
      <c r="T56">
        <v>219</v>
      </c>
      <c r="V56" t="s">
        <v>66</v>
      </c>
      <c r="W56" t="s">
        <v>67</v>
      </c>
      <c r="X56" t="s">
        <v>151</v>
      </c>
      <c r="Y56">
        <v>55</v>
      </c>
      <c r="AC56" t="s">
        <v>69</v>
      </c>
      <c r="AE56" t="s">
        <v>69</v>
      </c>
      <c r="AF56" t="s">
        <v>69</v>
      </c>
      <c r="AH56" t="s">
        <v>69</v>
      </c>
      <c r="AI56" t="s">
        <v>69</v>
      </c>
      <c r="AM56">
        <v>0.64000000000000012</v>
      </c>
      <c r="AN56" s="2">
        <v>4.6142905729214991</v>
      </c>
      <c r="AR56">
        <v>0.69000000000000006</v>
      </c>
      <c r="AS56">
        <v>4.6000000000000005</v>
      </c>
      <c r="AT56">
        <v>1.1600000000000001</v>
      </c>
      <c r="AU56">
        <v>4.0699999999999994</v>
      </c>
      <c r="BB56">
        <v>31.043023521414771</v>
      </c>
      <c r="BC56" s="2">
        <v>9.19043341303788</v>
      </c>
      <c r="BD56" s="2">
        <f t="shared" si="0"/>
        <v>9.19043341303788</v>
      </c>
      <c r="BF56">
        <v>4.74</v>
      </c>
      <c r="BG56">
        <v>6.95</v>
      </c>
      <c r="BH56" s="2">
        <v>15.513504434051118</v>
      </c>
    </row>
    <row r="57" spans="1:60" x14ac:dyDescent="0.25">
      <c r="A57">
        <v>28</v>
      </c>
      <c r="B57">
        <v>-52.601814889364299</v>
      </c>
      <c r="C57">
        <v>-17.749551980328299</v>
      </c>
      <c r="D57" t="s">
        <v>150</v>
      </c>
      <c r="E57" s="3">
        <v>46203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440359</v>
      </c>
      <c r="P57">
        <v>1</v>
      </c>
      <c r="Q57">
        <v>1001</v>
      </c>
      <c r="T57">
        <v>219</v>
      </c>
      <c r="V57" t="s">
        <v>70</v>
      </c>
      <c r="W57" t="s">
        <v>67</v>
      </c>
      <c r="X57" t="s">
        <v>152</v>
      </c>
      <c r="Y57">
        <v>56</v>
      </c>
      <c r="AC57" t="s">
        <v>69</v>
      </c>
      <c r="AF57" t="s">
        <v>69</v>
      </c>
      <c r="AH57" t="s">
        <v>69</v>
      </c>
      <c r="AI57" t="s">
        <v>69</v>
      </c>
      <c r="AM57">
        <v>0.64999999999999991</v>
      </c>
      <c r="AN57" s="2">
        <v>4.4479485514639965</v>
      </c>
      <c r="AR57">
        <v>0.52</v>
      </c>
      <c r="AS57">
        <v>5.83</v>
      </c>
      <c r="AT57">
        <v>1.1600000000000001</v>
      </c>
      <c r="AU57">
        <v>3.61</v>
      </c>
      <c r="BB57">
        <v>29.38668934834152</v>
      </c>
      <c r="BD57" s="2">
        <f t="shared" si="0"/>
        <v>19.38668934834152</v>
      </c>
      <c r="BF57">
        <v>4.87</v>
      </c>
      <c r="BG57">
        <v>7</v>
      </c>
      <c r="BH57" s="2">
        <v>14.717332758541527</v>
      </c>
    </row>
    <row r="58" spans="1:60" x14ac:dyDescent="0.25">
      <c r="A58">
        <v>29</v>
      </c>
      <c r="B58">
        <v>-52.598172859999998</v>
      </c>
      <c r="C58">
        <v>-17.7502222</v>
      </c>
      <c r="D58" t="s">
        <v>153</v>
      </c>
      <c r="E58" s="3">
        <v>46203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440359</v>
      </c>
      <c r="P58">
        <v>1</v>
      </c>
      <c r="Q58">
        <v>1001</v>
      </c>
      <c r="T58">
        <v>220</v>
      </c>
      <c r="V58" t="s">
        <v>66</v>
      </c>
      <c r="W58" t="s">
        <v>67</v>
      </c>
      <c r="X58" t="s">
        <v>154</v>
      </c>
      <c r="Y58">
        <v>57</v>
      </c>
      <c r="AC58" t="s">
        <v>69</v>
      </c>
      <c r="AF58" t="s">
        <v>69</v>
      </c>
      <c r="AH58" t="s">
        <v>69</v>
      </c>
      <c r="AI58" t="s">
        <v>69</v>
      </c>
      <c r="AM58">
        <v>0.83000000000000007</v>
      </c>
      <c r="AN58" s="2">
        <v>5.2796586587515089</v>
      </c>
      <c r="AR58">
        <v>3.3200000000000003</v>
      </c>
      <c r="AS58">
        <v>1.1600000000000001</v>
      </c>
      <c r="AT58">
        <v>0.5</v>
      </c>
      <c r="AU58">
        <v>0.66999999999999993</v>
      </c>
      <c r="BB58">
        <v>26.23410112067873</v>
      </c>
      <c r="BD58" s="2">
        <f t="shared" si="0"/>
        <v>16.23410112067873</v>
      </c>
      <c r="BF58">
        <v>4.22</v>
      </c>
      <c r="BG58">
        <v>6.61</v>
      </c>
      <c r="BH58" s="2">
        <v>22.197260900679254</v>
      </c>
    </row>
    <row r="59" spans="1:60" x14ac:dyDescent="0.25">
      <c r="A59">
        <v>29</v>
      </c>
      <c r="B59">
        <v>-52.598172859999998</v>
      </c>
      <c r="C59">
        <v>-17.7502222</v>
      </c>
      <c r="D59" t="s">
        <v>153</v>
      </c>
      <c r="E59" s="3">
        <v>46203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440359</v>
      </c>
      <c r="P59">
        <v>1</v>
      </c>
      <c r="Q59">
        <v>1001</v>
      </c>
      <c r="T59">
        <v>220</v>
      </c>
      <c r="V59" t="s">
        <v>70</v>
      </c>
      <c r="W59" t="s">
        <v>67</v>
      </c>
      <c r="X59" t="s">
        <v>155</v>
      </c>
      <c r="Y59">
        <v>58</v>
      </c>
      <c r="AC59" t="s">
        <v>69</v>
      </c>
      <c r="AF59" t="s">
        <v>69</v>
      </c>
      <c r="AH59" t="s">
        <v>69</v>
      </c>
      <c r="AI59" t="s">
        <v>69</v>
      </c>
      <c r="AM59">
        <v>0.80000000000000027</v>
      </c>
      <c r="AN59" s="2">
        <v>4.9469746158365044</v>
      </c>
      <c r="AR59">
        <v>3.67</v>
      </c>
      <c r="AS59">
        <v>0.76</v>
      </c>
      <c r="AT59">
        <v>0.39000000000000007</v>
      </c>
      <c r="AU59">
        <v>0.36</v>
      </c>
      <c r="BB59">
        <v>28.22858737846289</v>
      </c>
      <c r="BD59" s="2">
        <f t="shared" si="0"/>
        <v>18.22858737846289</v>
      </c>
      <c r="BF59">
        <v>4.1900000000000004</v>
      </c>
      <c r="BG59">
        <v>6.65</v>
      </c>
      <c r="BH59" s="2">
        <v>21.281132848400475</v>
      </c>
    </row>
    <row r="60" spans="1:60" x14ac:dyDescent="0.25">
      <c r="A60">
        <v>30</v>
      </c>
      <c r="B60">
        <v>-52.595174850012299</v>
      </c>
      <c r="C60">
        <v>-17.7541298349519</v>
      </c>
      <c r="D60" t="s">
        <v>156</v>
      </c>
      <c r="E60" s="3">
        <v>46203</v>
      </c>
      <c r="F60" t="s">
        <v>62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440359</v>
      </c>
      <c r="P60">
        <v>1</v>
      </c>
      <c r="Q60">
        <v>1001</v>
      </c>
      <c r="T60">
        <v>221</v>
      </c>
      <c r="V60" t="s">
        <v>66</v>
      </c>
      <c r="W60" t="s">
        <v>67</v>
      </c>
      <c r="X60" t="s">
        <v>157</v>
      </c>
      <c r="Y60">
        <v>59</v>
      </c>
      <c r="AC60" t="s">
        <v>69</v>
      </c>
      <c r="AE60" t="s">
        <v>69</v>
      </c>
      <c r="AF60" t="s">
        <v>69</v>
      </c>
      <c r="AH60" t="s">
        <v>69</v>
      </c>
      <c r="AI60" t="s">
        <v>69</v>
      </c>
      <c r="AM60">
        <v>0.73</v>
      </c>
      <c r="AN60" s="2">
        <v>5.1133166372940071</v>
      </c>
      <c r="AR60">
        <v>3.81</v>
      </c>
      <c r="AS60">
        <v>1.24</v>
      </c>
      <c r="AT60">
        <v>0.53000000000000014</v>
      </c>
      <c r="AU60">
        <v>1.3900000000000001</v>
      </c>
      <c r="BB60">
        <v>29.25015707777078</v>
      </c>
      <c r="BC60" s="2">
        <v>9.9146624942483399</v>
      </c>
      <c r="BD60" s="2">
        <f t="shared" si="0"/>
        <v>9.9146624942483399</v>
      </c>
      <c r="BF60">
        <v>4.22</v>
      </c>
      <c r="BG60">
        <v>6.62</v>
      </c>
      <c r="BH60" s="2">
        <v>21.964596308665367</v>
      </c>
    </row>
    <row r="61" spans="1:60" x14ac:dyDescent="0.25">
      <c r="A61">
        <v>30</v>
      </c>
      <c r="B61">
        <v>-52.595174850012299</v>
      </c>
      <c r="C61">
        <v>-17.7541298349519</v>
      </c>
      <c r="D61" t="s">
        <v>156</v>
      </c>
      <c r="E61" s="3">
        <v>46203</v>
      </c>
      <c r="F61" t="s">
        <v>62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440359</v>
      </c>
      <c r="P61">
        <v>1</v>
      </c>
      <c r="Q61">
        <v>1001</v>
      </c>
      <c r="T61">
        <v>221</v>
      </c>
      <c r="V61" t="s">
        <v>70</v>
      </c>
      <c r="W61" t="s">
        <v>67</v>
      </c>
      <c r="X61" t="s">
        <v>158</v>
      </c>
      <c r="Y61">
        <v>60</v>
      </c>
      <c r="AC61" t="s">
        <v>69</v>
      </c>
      <c r="AF61" t="s">
        <v>69</v>
      </c>
      <c r="AH61" t="s">
        <v>69</v>
      </c>
      <c r="AI61" t="s">
        <v>69</v>
      </c>
      <c r="AM61">
        <v>0.85000000000000009</v>
      </c>
      <c r="AN61" s="2">
        <v>5.7786847231240159</v>
      </c>
      <c r="AR61">
        <v>4.13</v>
      </c>
      <c r="AS61">
        <v>0.79</v>
      </c>
      <c r="AT61">
        <v>0.42999999999999994</v>
      </c>
      <c r="AU61">
        <v>0.77</v>
      </c>
      <c r="BB61">
        <v>28.405492738504449</v>
      </c>
      <c r="BD61" s="2">
        <f t="shared" si="0"/>
        <v>18.405492738504449</v>
      </c>
      <c r="BF61">
        <v>4.2</v>
      </c>
      <c r="BG61">
        <v>6.63</v>
      </c>
      <c r="BH61" s="2">
        <v>21.734370432519114</v>
      </c>
    </row>
    <row r="62" spans="1:60" x14ac:dyDescent="0.25">
      <c r="A62">
        <v>31</v>
      </c>
      <c r="B62">
        <v>-52.59061956</v>
      </c>
      <c r="C62">
        <v>-17.750824420000001</v>
      </c>
      <c r="D62" t="s">
        <v>159</v>
      </c>
      <c r="E62" s="3">
        <v>46203</v>
      </c>
      <c r="F62" t="s">
        <v>62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440359</v>
      </c>
      <c r="P62">
        <v>1</v>
      </c>
      <c r="Q62">
        <v>1001</v>
      </c>
      <c r="T62">
        <v>222</v>
      </c>
      <c r="V62" t="s">
        <v>66</v>
      </c>
      <c r="W62" t="s">
        <v>67</v>
      </c>
      <c r="X62" t="s">
        <v>160</v>
      </c>
      <c r="Y62">
        <v>61</v>
      </c>
      <c r="AC62" t="s">
        <v>69</v>
      </c>
      <c r="AF62" t="s">
        <v>69</v>
      </c>
      <c r="AH62" t="s">
        <v>69</v>
      </c>
      <c r="AI62" t="s">
        <v>69</v>
      </c>
      <c r="AM62">
        <v>0.83000000000000007</v>
      </c>
      <c r="AN62" s="2">
        <v>5.7786847231240159</v>
      </c>
      <c r="AR62">
        <v>4.01</v>
      </c>
      <c r="AS62">
        <v>0.3</v>
      </c>
      <c r="AT62">
        <v>0.47</v>
      </c>
      <c r="AU62">
        <v>0.16</v>
      </c>
      <c r="BB62">
        <v>31.67662144456429</v>
      </c>
      <c r="BD62" s="2">
        <f t="shared" si="0"/>
        <v>21.67662144456429</v>
      </c>
      <c r="BF62">
        <v>4.12</v>
      </c>
      <c r="BG62">
        <v>6.69</v>
      </c>
      <c r="BH62" s="2">
        <v>20.402815344546003</v>
      </c>
    </row>
    <row r="63" spans="1:60" x14ac:dyDescent="0.25">
      <c r="A63">
        <v>31</v>
      </c>
      <c r="B63">
        <v>-52.59061956</v>
      </c>
      <c r="C63">
        <v>-17.750824420000001</v>
      </c>
      <c r="D63" t="s">
        <v>159</v>
      </c>
      <c r="E63" s="3">
        <v>46203</v>
      </c>
      <c r="F63" t="s">
        <v>62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440359</v>
      </c>
      <c r="P63">
        <v>1</v>
      </c>
      <c r="Q63">
        <v>1001</v>
      </c>
      <c r="T63">
        <v>222</v>
      </c>
      <c r="V63" t="s">
        <v>70</v>
      </c>
      <c r="W63" t="s">
        <v>67</v>
      </c>
      <c r="X63" t="s">
        <v>161</v>
      </c>
      <c r="Y63">
        <v>62</v>
      </c>
      <c r="AC63" t="s">
        <v>69</v>
      </c>
      <c r="AF63" t="s">
        <v>69</v>
      </c>
      <c r="AH63" t="s">
        <v>69</v>
      </c>
      <c r="AI63" t="s">
        <v>69</v>
      </c>
      <c r="AM63">
        <v>0.69</v>
      </c>
      <c r="AN63" s="2">
        <v>5.4460006802090106</v>
      </c>
      <c r="AR63">
        <v>4</v>
      </c>
      <c r="AS63">
        <v>0.18</v>
      </c>
      <c r="AT63">
        <v>0.39999999999999986</v>
      </c>
      <c r="AU63">
        <v>0.14000000000000001</v>
      </c>
      <c r="BB63">
        <v>26.185415793332339</v>
      </c>
      <c r="BD63" s="2">
        <f t="shared" si="0"/>
        <v>16.185415793332339</v>
      </c>
      <c r="BF63">
        <v>4.12</v>
      </c>
      <c r="BG63">
        <v>6.7</v>
      </c>
      <c r="BH63" s="2">
        <v>20.188959557144408</v>
      </c>
    </row>
    <row r="64" spans="1:60" x14ac:dyDescent="0.25">
      <c r="A64">
        <v>32</v>
      </c>
      <c r="B64">
        <v>-52.592251769999997</v>
      </c>
      <c r="C64">
        <v>-17.756226229999999</v>
      </c>
      <c r="D64" t="s">
        <v>162</v>
      </c>
      <c r="E64" s="3">
        <v>46203</v>
      </c>
      <c r="F64" t="s">
        <v>62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440359</v>
      </c>
      <c r="P64">
        <v>1</v>
      </c>
      <c r="Q64">
        <v>1001</v>
      </c>
      <c r="T64">
        <v>223</v>
      </c>
      <c r="V64" t="s">
        <v>66</v>
      </c>
      <c r="W64" t="s">
        <v>67</v>
      </c>
      <c r="X64" t="s">
        <v>163</v>
      </c>
      <c r="Y64">
        <v>63</v>
      </c>
      <c r="AC64" t="s">
        <v>69</v>
      </c>
      <c r="AF64" t="s">
        <v>69</v>
      </c>
      <c r="AH64" t="s">
        <v>69</v>
      </c>
      <c r="AI64" t="s">
        <v>69</v>
      </c>
      <c r="AM64">
        <v>1.07</v>
      </c>
      <c r="AN64" s="2">
        <v>5.6123427016665133</v>
      </c>
      <c r="AR64">
        <v>4.16</v>
      </c>
      <c r="AS64">
        <v>0.32</v>
      </c>
      <c r="AT64">
        <v>0.42999999999999994</v>
      </c>
      <c r="AU64">
        <v>0.29000000000000004</v>
      </c>
      <c r="BB64">
        <v>29.71550101938055</v>
      </c>
      <c r="BD64" s="2">
        <f t="shared" si="0"/>
        <v>19.71550101938055</v>
      </c>
      <c r="BF64">
        <v>4.08</v>
      </c>
      <c r="BG64">
        <v>6.51</v>
      </c>
      <c r="BH64" s="2">
        <v>24.663857142328137</v>
      </c>
    </row>
    <row r="65" spans="1:60" x14ac:dyDescent="0.25">
      <c r="A65">
        <v>32</v>
      </c>
      <c r="B65">
        <v>-52.592251769999997</v>
      </c>
      <c r="C65">
        <v>-17.756226229999999</v>
      </c>
      <c r="D65" t="s">
        <v>162</v>
      </c>
      <c r="E65" s="3">
        <v>46203</v>
      </c>
      <c r="F65" t="s">
        <v>62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440359</v>
      </c>
      <c r="P65">
        <v>1</v>
      </c>
      <c r="Q65">
        <v>1001</v>
      </c>
      <c r="T65">
        <v>223</v>
      </c>
      <c r="V65" t="s">
        <v>70</v>
      </c>
      <c r="W65" t="s">
        <v>67</v>
      </c>
      <c r="X65" t="s">
        <v>164</v>
      </c>
      <c r="Y65">
        <v>64</v>
      </c>
      <c r="AC65" t="s">
        <v>69</v>
      </c>
      <c r="AF65" t="s">
        <v>69</v>
      </c>
      <c r="AH65" t="s">
        <v>69</v>
      </c>
      <c r="AI65" t="s">
        <v>69</v>
      </c>
      <c r="AM65">
        <v>0.81999999999999984</v>
      </c>
      <c r="AN65" s="2">
        <v>5.4460006802090106</v>
      </c>
      <c r="AR65">
        <v>3.7800000000000002</v>
      </c>
      <c r="AS65">
        <v>0.34</v>
      </c>
      <c r="AT65">
        <v>0.34</v>
      </c>
      <c r="AU65">
        <v>0.34</v>
      </c>
      <c r="BB65">
        <v>30.519261861134542</v>
      </c>
      <c r="BD65" s="2">
        <f t="shared" si="0"/>
        <v>20.519261861134542</v>
      </c>
      <c r="BF65">
        <v>4.12</v>
      </c>
      <c r="BG65">
        <v>6.62</v>
      </c>
      <c r="BH65" s="2">
        <v>21.964596308665367</v>
      </c>
    </row>
    <row r="66" spans="1:60" x14ac:dyDescent="0.25">
      <c r="A66">
        <v>33</v>
      </c>
      <c r="B66">
        <v>-52.585814489999997</v>
      </c>
      <c r="C66">
        <v>-17.752779109999999</v>
      </c>
      <c r="D66" t="s">
        <v>165</v>
      </c>
      <c r="E66" s="3">
        <v>46203</v>
      </c>
      <c r="F66" t="s">
        <v>62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440359</v>
      </c>
      <c r="P66">
        <v>1</v>
      </c>
      <c r="Q66">
        <v>1001</v>
      </c>
      <c r="T66">
        <v>224</v>
      </c>
      <c r="V66" t="s">
        <v>66</v>
      </c>
      <c r="W66" t="s">
        <v>67</v>
      </c>
      <c r="X66" t="s">
        <v>166</v>
      </c>
      <c r="Y66">
        <v>65</v>
      </c>
      <c r="AC66" t="s">
        <v>69</v>
      </c>
      <c r="AE66" t="s">
        <v>69</v>
      </c>
      <c r="AF66" t="s">
        <v>69</v>
      </c>
      <c r="AH66" t="s">
        <v>69</v>
      </c>
      <c r="AI66" t="s">
        <v>69</v>
      </c>
      <c r="AM66">
        <v>0.64999999999999991</v>
      </c>
      <c r="AN66" s="2">
        <v>5.2796586587515089</v>
      </c>
      <c r="AR66">
        <v>4.88</v>
      </c>
      <c r="AS66">
        <v>0.18</v>
      </c>
      <c r="AT66">
        <v>0.16</v>
      </c>
      <c r="AU66">
        <v>0.13</v>
      </c>
      <c r="BB66">
        <v>40.580439769538152</v>
      </c>
      <c r="BC66" s="2">
        <v>12.4494642784849</v>
      </c>
      <c r="BD66" s="2">
        <f t="shared" si="0"/>
        <v>12.4494642784849</v>
      </c>
      <c r="BF66">
        <v>4.12</v>
      </c>
      <c r="BG66">
        <v>6.4</v>
      </c>
      <c r="BH66" s="2">
        <v>27.694834022384661</v>
      </c>
    </row>
    <row r="67" spans="1:60" x14ac:dyDescent="0.25">
      <c r="A67">
        <v>33</v>
      </c>
      <c r="B67">
        <v>-52.585814489999997</v>
      </c>
      <c r="C67">
        <v>-17.752779109999999</v>
      </c>
      <c r="D67" t="s">
        <v>165</v>
      </c>
      <c r="E67" s="3">
        <v>46203</v>
      </c>
      <c r="F67" t="s">
        <v>62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440359</v>
      </c>
      <c r="P67">
        <v>1</v>
      </c>
      <c r="Q67">
        <v>1001</v>
      </c>
      <c r="T67">
        <v>224</v>
      </c>
      <c r="V67" t="s">
        <v>70</v>
      </c>
      <c r="W67" t="s">
        <v>67</v>
      </c>
      <c r="X67" t="s">
        <v>167</v>
      </c>
      <c r="Y67">
        <v>66</v>
      </c>
      <c r="AC67" t="s">
        <v>69</v>
      </c>
      <c r="AF67" t="s">
        <v>69</v>
      </c>
      <c r="AH67" t="s">
        <v>69</v>
      </c>
      <c r="AI67" t="s">
        <v>69</v>
      </c>
      <c r="AM67">
        <v>0.52</v>
      </c>
      <c r="AN67" s="2">
        <v>4.7806325943790018</v>
      </c>
      <c r="AR67">
        <v>4.17</v>
      </c>
      <c r="AS67">
        <v>0.21000000000000002</v>
      </c>
      <c r="AT67">
        <v>0.16</v>
      </c>
      <c r="AU67">
        <v>0.14000000000000001</v>
      </c>
      <c r="BB67">
        <v>34.308173587863017</v>
      </c>
      <c r="BD67" s="2">
        <f t="shared" ref="BD67:BD130" si="1">IF(BC67&lt;&gt;0,BC67,BB67-10)</f>
        <v>24.308173587863017</v>
      </c>
      <c r="BF67">
        <v>4.1500000000000004</v>
      </c>
      <c r="BG67">
        <v>6.5</v>
      </c>
      <c r="BH67" s="2">
        <v>24.925114220713191</v>
      </c>
    </row>
    <row r="68" spans="1:60" x14ac:dyDescent="0.25">
      <c r="A68">
        <v>34</v>
      </c>
      <c r="B68">
        <v>-52.597911949999997</v>
      </c>
      <c r="C68">
        <v>-17.718585709999999</v>
      </c>
      <c r="D68" t="s">
        <v>168</v>
      </c>
      <c r="E68" s="3">
        <v>46203</v>
      </c>
      <c r="F68" t="s">
        <v>62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440359</v>
      </c>
      <c r="P68">
        <v>1</v>
      </c>
      <c r="Q68">
        <v>1001</v>
      </c>
      <c r="T68">
        <v>225</v>
      </c>
      <c r="V68" t="s">
        <v>66</v>
      </c>
      <c r="W68" t="s">
        <v>67</v>
      </c>
      <c r="X68" t="s">
        <v>169</v>
      </c>
      <c r="Y68">
        <v>67</v>
      </c>
      <c r="AC68" t="s">
        <v>69</v>
      </c>
      <c r="AE68" t="s">
        <v>69</v>
      </c>
      <c r="AF68" t="s">
        <v>69</v>
      </c>
      <c r="AH68" t="s">
        <v>69</v>
      </c>
      <c r="AI68" t="s">
        <v>69</v>
      </c>
      <c r="AM68">
        <v>0.69</v>
      </c>
      <c r="AN68" s="2">
        <v>5.4460006802090106</v>
      </c>
      <c r="AR68">
        <v>2.0699999999999998</v>
      </c>
      <c r="AS68">
        <v>2.1</v>
      </c>
      <c r="AT68">
        <v>0.88000000000000012</v>
      </c>
      <c r="AU68">
        <v>3.2</v>
      </c>
      <c r="BB68">
        <v>29.628826706721011</v>
      </c>
      <c r="BC68" s="2">
        <v>11.001006116064</v>
      </c>
      <c r="BD68" s="2">
        <f t="shared" si="1"/>
        <v>11.001006116064</v>
      </c>
      <c r="BF68">
        <v>4.33</v>
      </c>
      <c r="BG68">
        <v>6.74</v>
      </c>
      <c r="BH68" s="2">
        <v>19.355718362233922</v>
      </c>
    </row>
    <row r="69" spans="1:60" x14ac:dyDescent="0.25">
      <c r="A69">
        <v>34</v>
      </c>
      <c r="B69">
        <v>-52.597911949999997</v>
      </c>
      <c r="C69">
        <v>-17.718585709999999</v>
      </c>
      <c r="D69" t="s">
        <v>168</v>
      </c>
      <c r="E69" s="3">
        <v>46203</v>
      </c>
      <c r="F69" t="s">
        <v>62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440359</v>
      </c>
      <c r="P69">
        <v>1</v>
      </c>
      <c r="Q69">
        <v>1001</v>
      </c>
      <c r="T69">
        <v>225</v>
      </c>
      <c r="V69" t="s">
        <v>70</v>
      </c>
      <c r="W69" t="s">
        <v>67</v>
      </c>
      <c r="X69" t="s">
        <v>170</v>
      </c>
      <c r="Y69">
        <v>68</v>
      </c>
      <c r="AC69" t="s">
        <v>69</v>
      </c>
      <c r="AF69" t="s">
        <v>69</v>
      </c>
      <c r="AH69" t="s">
        <v>69</v>
      </c>
      <c r="AI69" t="s">
        <v>69</v>
      </c>
      <c r="AM69">
        <v>0.73</v>
      </c>
      <c r="AN69" s="2">
        <v>5.4460006802090106</v>
      </c>
      <c r="AR69">
        <v>2.08</v>
      </c>
      <c r="AS69">
        <v>2.5</v>
      </c>
      <c r="AT69">
        <v>0.70000000000000007</v>
      </c>
      <c r="AU69">
        <v>2.27</v>
      </c>
      <c r="BB69">
        <v>28.723968097349172</v>
      </c>
      <c r="BD69" s="2">
        <f t="shared" si="1"/>
        <v>18.723968097349172</v>
      </c>
      <c r="BF69">
        <v>4.32</v>
      </c>
      <c r="BG69">
        <v>6.81</v>
      </c>
      <c r="BH69" s="2">
        <v>17.979440279988168</v>
      </c>
    </row>
    <row r="70" spans="1:60" x14ac:dyDescent="0.25">
      <c r="A70">
        <v>35</v>
      </c>
      <c r="B70">
        <v>-52.595725999999999</v>
      </c>
      <c r="C70">
        <v>-17.723464499999999</v>
      </c>
      <c r="D70" t="s">
        <v>171</v>
      </c>
      <c r="E70" s="3">
        <v>46203</v>
      </c>
      <c r="F70" t="s">
        <v>62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440359</v>
      </c>
      <c r="P70">
        <v>1</v>
      </c>
      <c r="Q70">
        <v>1001</v>
      </c>
      <c r="T70">
        <v>226</v>
      </c>
      <c r="V70" t="s">
        <v>66</v>
      </c>
      <c r="W70" t="s">
        <v>67</v>
      </c>
      <c r="X70" t="s">
        <v>172</v>
      </c>
      <c r="Y70">
        <v>69</v>
      </c>
      <c r="AC70" t="s">
        <v>69</v>
      </c>
      <c r="AF70" t="s">
        <v>69</v>
      </c>
      <c r="AH70" t="s">
        <v>69</v>
      </c>
      <c r="AI70" t="s">
        <v>69</v>
      </c>
      <c r="AM70">
        <v>0.56999999999999984</v>
      </c>
      <c r="AN70" s="2">
        <v>16.091890053489166</v>
      </c>
      <c r="AR70">
        <v>0.17</v>
      </c>
      <c r="AS70">
        <v>7.8900000000000006</v>
      </c>
      <c r="AT70">
        <v>1.73</v>
      </c>
      <c r="AU70">
        <v>5.17</v>
      </c>
      <c r="BB70">
        <v>30.084920266047671</v>
      </c>
      <c r="BD70" s="2">
        <f t="shared" si="1"/>
        <v>20.084920266047671</v>
      </c>
      <c r="BF70">
        <v>5.21</v>
      </c>
      <c r="BG70">
        <v>7.19</v>
      </c>
      <c r="BH70" s="2">
        <v>12.047087125772419</v>
      </c>
    </row>
    <row r="71" spans="1:60" x14ac:dyDescent="0.25">
      <c r="A71">
        <v>35</v>
      </c>
      <c r="B71">
        <v>-52.595725999999999</v>
      </c>
      <c r="C71">
        <v>-17.723464499999999</v>
      </c>
      <c r="D71" t="s">
        <v>171</v>
      </c>
      <c r="E71" s="3">
        <v>46203</v>
      </c>
      <c r="F71" t="s">
        <v>62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440359</v>
      </c>
      <c r="P71">
        <v>1</v>
      </c>
      <c r="Q71">
        <v>1001</v>
      </c>
      <c r="T71">
        <v>226</v>
      </c>
      <c r="V71" t="s">
        <v>70</v>
      </c>
      <c r="W71" t="s">
        <v>67</v>
      </c>
      <c r="X71" t="s">
        <v>173</v>
      </c>
      <c r="Y71">
        <v>70</v>
      </c>
      <c r="AC71" t="s">
        <v>69</v>
      </c>
      <c r="AF71" t="s">
        <v>69</v>
      </c>
      <c r="AH71" t="s">
        <v>69</v>
      </c>
      <c r="AI71" t="s">
        <v>69</v>
      </c>
      <c r="AM71">
        <v>0.71</v>
      </c>
      <c r="AN71" s="2">
        <v>11.101629409764094</v>
      </c>
      <c r="AR71">
        <v>0.2</v>
      </c>
      <c r="AS71">
        <v>6.8699999999999992</v>
      </c>
      <c r="AT71">
        <v>1.7199999999999998</v>
      </c>
      <c r="AU71">
        <v>3.8</v>
      </c>
      <c r="BB71">
        <v>29.398749034604691</v>
      </c>
      <c r="BD71" s="2">
        <f t="shared" si="1"/>
        <v>19.398749034604691</v>
      </c>
      <c r="BF71">
        <v>5.07</v>
      </c>
      <c r="BG71">
        <v>7.13</v>
      </c>
      <c r="BH71" s="2">
        <v>12.833319804286845</v>
      </c>
    </row>
    <row r="72" spans="1:60" x14ac:dyDescent="0.25">
      <c r="A72">
        <v>36</v>
      </c>
      <c r="B72">
        <v>-52.599383420000002</v>
      </c>
      <c r="C72">
        <v>-17.721734619999999</v>
      </c>
      <c r="D72" t="s">
        <v>174</v>
      </c>
      <c r="E72" s="3">
        <v>46203</v>
      </c>
      <c r="F72" t="s">
        <v>62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440359</v>
      </c>
      <c r="P72">
        <v>1</v>
      </c>
      <c r="Q72">
        <v>1001</v>
      </c>
      <c r="T72">
        <v>227</v>
      </c>
      <c r="V72" t="s">
        <v>66</v>
      </c>
      <c r="W72" t="s">
        <v>67</v>
      </c>
      <c r="X72" t="s">
        <v>175</v>
      </c>
      <c r="Y72">
        <v>71</v>
      </c>
      <c r="AC72" t="s">
        <v>69</v>
      </c>
      <c r="AF72" t="s">
        <v>69</v>
      </c>
      <c r="AH72" t="s">
        <v>69</v>
      </c>
      <c r="AI72" t="s">
        <v>69</v>
      </c>
      <c r="AM72">
        <v>0.91000000000000014</v>
      </c>
      <c r="AN72" s="2">
        <v>6.9430788733265327</v>
      </c>
      <c r="AR72">
        <v>0.86999999999999988</v>
      </c>
      <c r="AS72">
        <v>7.25</v>
      </c>
      <c r="AT72">
        <v>0.6</v>
      </c>
      <c r="AU72">
        <v>4.46</v>
      </c>
      <c r="BB72">
        <v>30.583295670797241</v>
      </c>
      <c r="BD72" s="2">
        <f t="shared" si="1"/>
        <v>20.583295670797241</v>
      </c>
      <c r="BF72">
        <v>4.66</v>
      </c>
      <c r="BG72">
        <v>6.77</v>
      </c>
      <c r="BH72" s="2">
        <v>18.753434301927946</v>
      </c>
    </row>
    <row r="73" spans="1:60" x14ac:dyDescent="0.25">
      <c r="A73">
        <v>36</v>
      </c>
      <c r="B73">
        <v>-52.599383420000002</v>
      </c>
      <c r="C73">
        <v>-17.721734619999999</v>
      </c>
      <c r="D73" t="s">
        <v>174</v>
      </c>
      <c r="E73" s="3">
        <v>46203</v>
      </c>
      <c r="F73" t="s">
        <v>62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440359</v>
      </c>
      <c r="P73">
        <v>1</v>
      </c>
      <c r="Q73">
        <v>1001</v>
      </c>
      <c r="T73">
        <v>227</v>
      </c>
      <c r="V73" t="s">
        <v>70</v>
      </c>
      <c r="W73" t="s">
        <v>67</v>
      </c>
      <c r="X73" t="s">
        <v>176</v>
      </c>
      <c r="Y73">
        <v>72</v>
      </c>
      <c r="AC73" t="s">
        <v>69</v>
      </c>
      <c r="AF73" t="s">
        <v>69</v>
      </c>
      <c r="AH73" t="s">
        <v>69</v>
      </c>
      <c r="AI73" t="s">
        <v>69</v>
      </c>
      <c r="AM73">
        <v>0.60000000000000009</v>
      </c>
      <c r="AN73" s="2">
        <v>6.1113687660390212</v>
      </c>
      <c r="AR73">
        <v>1.21</v>
      </c>
      <c r="AS73">
        <v>5.7899999999999991</v>
      </c>
      <c r="AT73">
        <v>0.58000000000000007</v>
      </c>
      <c r="AU73">
        <v>3.4399999999999995</v>
      </c>
      <c r="BB73">
        <v>30.615987042367721</v>
      </c>
      <c r="BD73" s="2">
        <f t="shared" si="1"/>
        <v>20.615987042367721</v>
      </c>
      <c r="BF73">
        <v>4.57</v>
      </c>
      <c r="BG73">
        <v>6.76</v>
      </c>
      <c r="BH73" s="2">
        <v>18.952083987057659</v>
      </c>
    </row>
    <row r="74" spans="1:60" x14ac:dyDescent="0.25">
      <c r="A74">
        <v>37</v>
      </c>
      <c r="B74">
        <v>-52.596774930000002</v>
      </c>
      <c r="C74">
        <v>-17.728537150000001</v>
      </c>
      <c r="D74" t="s">
        <v>177</v>
      </c>
      <c r="E74" s="3">
        <v>46203</v>
      </c>
      <c r="F74" t="s">
        <v>62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440359</v>
      </c>
      <c r="P74">
        <v>1</v>
      </c>
      <c r="Q74">
        <v>1001</v>
      </c>
      <c r="T74">
        <v>228</v>
      </c>
      <c r="V74" t="s">
        <v>66</v>
      </c>
      <c r="W74" t="s">
        <v>67</v>
      </c>
      <c r="X74" t="s">
        <v>178</v>
      </c>
      <c r="Y74">
        <v>73</v>
      </c>
      <c r="AC74" t="s">
        <v>69</v>
      </c>
      <c r="AF74" t="s">
        <v>69</v>
      </c>
      <c r="AH74" t="s">
        <v>69</v>
      </c>
      <c r="AI74" t="s">
        <v>69</v>
      </c>
      <c r="AM74">
        <v>0.64999999999999991</v>
      </c>
      <c r="AN74" s="2">
        <v>27.070463469684324</v>
      </c>
      <c r="AR74">
        <v>0.19</v>
      </c>
      <c r="AS74">
        <v>25.48</v>
      </c>
      <c r="AT74">
        <v>0.68</v>
      </c>
      <c r="AU74">
        <v>13.14</v>
      </c>
      <c r="BB74">
        <v>33.55601805222193</v>
      </c>
      <c r="BD74" s="2">
        <f t="shared" si="1"/>
        <v>23.55601805222193</v>
      </c>
      <c r="BF74">
        <v>6.09</v>
      </c>
      <c r="BG74">
        <v>7.39</v>
      </c>
      <c r="BH74" s="2">
        <v>9.7579554745428698</v>
      </c>
    </row>
    <row r="75" spans="1:60" x14ac:dyDescent="0.25">
      <c r="A75">
        <v>37</v>
      </c>
      <c r="B75">
        <v>-52.596774930000002</v>
      </c>
      <c r="C75">
        <v>-17.728537150000001</v>
      </c>
      <c r="D75" t="s">
        <v>177</v>
      </c>
      <c r="E75" s="3">
        <v>46203</v>
      </c>
      <c r="F75" t="s">
        <v>62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440359</v>
      </c>
      <c r="P75">
        <v>1</v>
      </c>
      <c r="Q75">
        <v>1001</v>
      </c>
      <c r="T75">
        <v>228</v>
      </c>
      <c r="V75" t="s">
        <v>70</v>
      </c>
      <c r="W75" t="s">
        <v>67</v>
      </c>
      <c r="X75" t="s">
        <v>179</v>
      </c>
      <c r="Y75">
        <v>74</v>
      </c>
      <c r="AC75" t="s">
        <v>69</v>
      </c>
      <c r="AF75" t="s">
        <v>69</v>
      </c>
      <c r="AH75" t="s">
        <v>69</v>
      </c>
      <c r="AI75" t="s">
        <v>69</v>
      </c>
      <c r="AM75">
        <v>0.62999999999999989</v>
      </c>
      <c r="AN75" s="2">
        <v>16.258232074946669</v>
      </c>
      <c r="AR75">
        <v>0.17</v>
      </c>
      <c r="AS75">
        <v>22.44</v>
      </c>
      <c r="AT75">
        <v>0.55000000000000004</v>
      </c>
      <c r="AU75">
        <v>11.040000000000001</v>
      </c>
      <c r="BB75">
        <v>31.00220451779126</v>
      </c>
      <c r="BD75" s="2">
        <f t="shared" si="1"/>
        <v>21.00220451779126</v>
      </c>
      <c r="BF75">
        <v>6.19</v>
      </c>
      <c r="BG75">
        <v>7.45</v>
      </c>
      <c r="BH75" s="2">
        <v>9.1601348336973452</v>
      </c>
    </row>
    <row r="76" spans="1:60" x14ac:dyDescent="0.25">
      <c r="A76">
        <v>38</v>
      </c>
      <c r="B76">
        <v>-52.592279670000003</v>
      </c>
      <c r="C76">
        <v>-17.72516426</v>
      </c>
      <c r="D76" t="s">
        <v>180</v>
      </c>
      <c r="E76" s="3">
        <v>46203</v>
      </c>
      <c r="F76" t="s">
        <v>62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440359</v>
      </c>
      <c r="P76">
        <v>1</v>
      </c>
      <c r="Q76">
        <v>1001</v>
      </c>
      <c r="T76">
        <v>229</v>
      </c>
      <c r="V76" t="s">
        <v>66</v>
      </c>
      <c r="W76" t="s">
        <v>67</v>
      </c>
      <c r="X76" t="s">
        <v>181</v>
      </c>
      <c r="Y76">
        <v>75</v>
      </c>
      <c r="AC76" t="s">
        <v>69</v>
      </c>
      <c r="AE76" t="s">
        <v>69</v>
      </c>
      <c r="AF76" t="s">
        <v>69</v>
      </c>
      <c r="AH76" t="s">
        <v>69</v>
      </c>
      <c r="AI76" t="s">
        <v>69</v>
      </c>
      <c r="AM76">
        <v>0.53000000000000025</v>
      </c>
      <c r="AN76" s="2">
        <v>17.089942182234179</v>
      </c>
      <c r="AR76">
        <v>1.08</v>
      </c>
      <c r="AS76">
        <v>7.68</v>
      </c>
      <c r="AT76">
        <v>0.6</v>
      </c>
      <c r="AU76">
        <v>3.03</v>
      </c>
      <c r="BB76">
        <v>30.711300973472589</v>
      </c>
      <c r="BC76" s="2">
        <v>10.457834305156201</v>
      </c>
      <c r="BD76" s="2">
        <f t="shared" si="1"/>
        <v>10.457834305156201</v>
      </c>
      <c r="BF76">
        <v>4.74</v>
      </c>
      <c r="BG76">
        <v>6.75</v>
      </c>
      <c r="BH76" s="2">
        <v>19.152837910630666</v>
      </c>
    </row>
    <row r="77" spans="1:60" x14ac:dyDescent="0.25">
      <c r="A77">
        <v>38</v>
      </c>
      <c r="B77">
        <v>-52.592279670000003</v>
      </c>
      <c r="C77">
        <v>-17.72516426</v>
      </c>
      <c r="D77" t="s">
        <v>180</v>
      </c>
      <c r="E77" s="3">
        <v>46203</v>
      </c>
      <c r="F77" t="s">
        <v>62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440359</v>
      </c>
      <c r="P77">
        <v>1</v>
      </c>
      <c r="Q77">
        <v>1001</v>
      </c>
      <c r="T77">
        <v>229</v>
      </c>
      <c r="V77" t="s">
        <v>70</v>
      </c>
      <c r="W77" t="s">
        <v>67</v>
      </c>
      <c r="X77" t="s">
        <v>182</v>
      </c>
      <c r="Y77">
        <v>76</v>
      </c>
      <c r="AC77" t="s">
        <v>69</v>
      </c>
      <c r="AF77" t="s">
        <v>69</v>
      </c>
      <c r="AH77" t="s">
        <v>69</v>
      </c>
      <c r="AI77" t="s">
        <v>69</v>
      </c>
      <c r="AM77">
        <v>0.4700000000000002</v>
      </c>
      <c r="AN77" s="2">
        <v>14.262127817456637</v>
      </c>
      <c r="AR77">
        <v>0.90999999999999992</v>
      </c>
      <c r="AS77">
        <v>8.1999999999999993</v>
      </c>
      <c r="AT77">
        <v>0.63</v>
      </c>
      <c r="AU77">
        <v>3.07</v>
      </c>
      <c r="BB77">
        <v>34.865449445514201</v>
      </c>
      <c r="BD77" s="2">
        <f t="shared" si="1"/>
        <v>24.865449445514201</v>
      </c>
      <c r="BF77">
        <v>4.75</v>
      </c>
      <c r="BG77">
        <v>6.79</v>
      </c>
      <c r="BH77" s="2">
        <v>18.362359654363456</v>
      </c>
    </row>
    <row r="78" spans="1:60" x14ac:dyDescent="0.25">
      <c r="A78">
        <v>39</v>
      </c>
      <c r="B78">
        <v>-52.592955150000002</v>
      </c>
      <c r="C78">
        <v>-17.729659560000002</v>
      </c>
      <c r="D78" t="s">
        <v>183</v>
      </c>
      <c r="E78" s="3">
        <v>46203</v>
      </c>
      <c r="F78" t="s">
        <v>62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440359</v>
      </c>
      <c r="P78">
        <v>1</v>
      </c>
      <c r="Q78">
        <v>1001</v>
      </c>
      <c r="T78">
        <v>230</v>
      </c>
      <c r="V78" t="s">
        <v>66</v>
      </c>
      <c r="W78" t="s">
        <v>67</v>
      </c>
      <c r="X78" t="s">
        <v>184</v>
      </c>
      <c r="Y78">
        <v>77</v>
      </c>
      <c r="AC78" t="s">
        <v>69</v>
      </c>
      <c r="AF78" t="s">
        <v>69</v>
      </c>
      <c r="AH78" t="s">
        <v>69</v>
      </c>
      <c r="AI78" t="s">
        <v>69</v>
      </c>
      <c r="AM78">
        <v>0.66000000000000014</v>
      </c>
      <c r="AN78" s="2">
        <v>4.7806325943790018</v>
      </c>
      <c r="AR78">
        <v>1.21</v>
      </c>
      <c r="AS78">
        <v>3.63</v>
      </c>
      <c r="AT78">
        <v>0.31</v>
      </c>
      <c r="AU78">
        <v>2.5499999999999998</v>
      </c>
      <c r="BB78">
        <v>24.996215893444369</v>
      </c>
      <c r="BD78" s="2">
        <f t="shared" si="1"/>
        <v>14.996215893444369</v>
      </c>
      <c r="BF78">
        <v>4.6100000000000003</v>
      </c>
      <c r="BG78">
        <v>7.03</v>
      </c>
      <c r="BH78" s="2">
        <v>14.259379467178096</v>
      </c>
    </row>
    <row r="79" spans="1:60" x14ac:dyDescent="0.25">
      <c r="A79">
        <v>39</v>
      </c>
      <c r="B79">
        <v>-52.592955150000002</v>
      </c>
      <c r="C79">
        <v>-17.729659560000002</v>
      </c>
      <c r="D79" t="s">
        <v>183</v>
      </c>
      <c r="E79" s="3">
        <v>46203</v>
      </c>
      <c r="F79" t="s">
        <v>62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440359</v>
      </c>
      <c r="P79">
        <v>1</v>
      </c>
      <c r="Q79">
        <v>1001</v>
      </c>
      <c r="T79">
        <v>230</v>
      </c>
      <c r="V79" t="s">
        <v>70</v>
      </c>
      <c r="W79" t="s">
        <v>67</v>
      </c>
      <c r="X79" t="s">
        <v>185</v>
      </c>
      <c r="Y79">
        <v>78</v>
      </c>
      <c r="AC79" t="s">
        <v>69</v>
      </c>
      <c r="AF79" t="s">
        <v>69</v>
      </c>
      <c r="AH79" t="s">
        <v>69</v>
      </c>
      <c r="AI79" t="s">
        <v>69</v>
      </c>
      <c r="AM79">
        <v>0.53000000000000025</v>
      </c>
      <c r="AN79" s="2">
        <v>3.9489224870914894</v>
      </c>
      <c r="AR79">
        <v>1.6400000000000001</v>
      </c>
      <c r="AS79">
        <v>2.48</v>
      </c>
      <c r="AT79">
        <v>0.38000000000000012</v>
      </c>
      <c r="AU79">
        <v>1.87</v>
      </c>
      <c r="BB79">
        <v>28.041889386263222</v>
      </c>
      <c r="BD79" s="2">
        <f t="shared" si="1"/>
        <v>18.041889386263222</v>
      </c>
      <c r="BF79">
        <v>4.41</v>
      </c>
      <c r="BG79">
        <v>6.95</v>
      </c>
      <c r="BH79" s="2">
        <v>15.513504434051118</v>
      </c>
    </row>
    <row r="80" spans="1:60" x14ac:dyDescent="0.25">
      <c r="A80">
        <v>40</v>
      </c>
      <c r="B80">
        <v>-52.594939609999997</v>
      </c>
      <c r="C80">
        <v>-17.732670070000001</v>
      </c>
      <c r="D80" t="s">
        <v>186</v>
      </c>
      <c r="E80" s="3">
        <v>46203</v>
      </c>
      <c r="F80" t="s">
        <v>62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440359</v>
      </c>
      <c r="P80">
        <v>1</v>
      </c>
      <c r="Q80">
        <v>1001</v>
      </c>
      <c r="T80">
        <v>231</v>
      </c>
      <c r="V80" t="s">
        <v>66</v>
      </c>
      <c r="W80" t="s">
        <v>67</v>
      </c>
      <c r="X80" t="s">
        <v>187</v>
      </c>
      <c r="Y80">
        <v>79</v>
      </c>
      <c r="AC80" t="s">
        <v>69</v>
      </c>
      <c r="AE80" t="s">
        <v>69</v>
      </c>
      <c r="AF80" t="s">
        <v>69</v>
      </c>
      <c r="AH80" t="s">
        <v>69</v>
      </c>
      <c r="AI80" t="s">
        <v>69</v>
      </c>
      <c r="AM80">
        <v>0.46</v>
      </c>
      <c r="AN80" s="2">
        <v>4.2816065300064947</v>
      </c>
      <c r="AR80">
        <v>0.13</v>
      </c>
      <c r="AS80">
        <v>9.2799999999999994</v>
      </c>
      <c r="AT80">
        <v>0.31</v>
      </c>
      <c r="AU80">
        <v>5.76</v>
      </c>
      <c r="BB80">
        <v>34.972491849554729</v>
      </c>
      <c r="BC80" s="2">
        <v>9.0093761427352703</v>
      </c>
      <c r="BD80" s="2">
        <f t="shared" si="1"/>
        <v>9.0093761427352703</v>
      </c>
      <c r="BF80">
        <v>5.4</v>
      </c>
      <c r="BG80">
        <v>7.29</v>
      </c>
      <c r="BH80" s="2">
        <v>10.842275580855981</v>
      </c>
    </row>
    <row r="81" spans="1:60" x14ac:dyDescent="0.25">
      <c r="A81">
        <v>40</v>
      </c>
      <c r="B81">
        <v>-52.594939609999997</v>
      </c>
      <c r="C81">
        <v>-17.732670070000001</v>
      </c>
      <c r="D81" t="s">
        <v>186</v>
      </c>
      <c r="E81" s="3">
        <v>46203</v>
      </c>
      <c r="F81" t="s">
        <v>62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440359</v>
      </c>
      <c r="P81">
        <v>1</v>
      </c>
      <c r="Q81">
        <v>1001</v>
      </c>
      <c r="T81">
        <v>231</v>
      </c>
      <c r="V81" t="s">
        <v>70</v>
      </c>
      <c r="W81" t="s">
        <v>67</v>
      </c>
      <c r="X81" t="s">
        <v>188</v>
      </c>
      <c r="Y81">
        <v>80</v>
      </c>
      <c r="AC81" t="s">
        <v>69</v>
      </c>
      <c r="AF81" t="s">
        <v>69</v>
      </c>
      <c r="AH81" t="s">
        <v>69</v>
      </c>
      <c r="AI81" t="s">
        <v>69</v>
      </c>
      <c r="AM81">
        <v>0.5</v>
      </c>
      <c r="AN81" s="2">
        <v>4.1152645085489921</v>
      </c>
      <c r="AR81">
        <v>0.21000000000000002</v>
      </c>
      <c r="AS81">
        <v>9.64</v>
      </c>
      <c r="AT81">
        <v>0.27</v>
      </c>
      <c r="AU81">
        <v>4.54</v>
      </c>
      <c r="BB81">
        <v>31.98684770234075</v>
      </c>
      <c r="BD81" s="2">
        <f t="shared" si="1"/>
        <v>21.98684770234075</v>
      </c>
      <c r="BF81">
        <v>5.42</v>
      </c>
      <c r="BG81">
        <v>7.27</v>
      </c>
      <c r="BH81" s="2">
        <v>11.073190298865697</v>
      </c>
    </row>
    <row r="82" spans="1:60" x14ac:dyDescent="0.25">
      <c r="A82">
        <v>41</v>
      </c>
      <c r="B82">
        <v>-52.594955059999997</v>
      </c>
      <c r="C82">
        <v>-17.738480450000001</v>
      </c>
      <c r="D82" t="s">
        <v>189</v>
      </c>
      <c r="E82" s="3">
        <v>46203</v>
      </c>
      <c r="F82" t="s">
        <v>62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O82">
        <v>440359</v>
      </c>
      <c r="P82">
        <v>1</v>
      </c>
      <c r="Q82">
        <v>1001</v>
      </c>
      <c r="T82">
        <v>232</v>
      </c>
      <c r="V82" t="s">
        <v>66</v>
      </c>
      <c r="W82" t="s">
        <v>67</v>
      </c>
      <c r="X82" t="s">
        <v>190</v>
      </c>
      <c r="Y82">
        <v>81</v>
      </c>
      <c r="AC82" t="s">
        <v>69</v>
      </c>
      <c r="AF82" t="s">
        <v>69</v>
      </c>
      <c r="AH82" t="s">
        <v>69</v>
      </c>
      <c r="AI82" t="s">
        <v>69</v>
      </c>
      <c r="AM82">
        <v>1.04</v>
      </c>
      <c r="AN82" s="2">
        <v>-0.20962804934606996</v>
      </c>
      <c r="AR82">
        <v>2.84</v>
      </c>
      <c r="AS82">
        <v>2.19</v>
      </c>
      <c r="AT82">
        <v>0.28000000000000003</v>
      </c>
      <c r="AU82">
        <v>0.8899999999999999</v>
      </c>
      <c r="BB82">
        <v>35.505526237135257</v>
      </c>
      <c r="BD82" s="2">
        <f t="shared" si="1"/>
        <v>25.505526237135257</v>
      </c>
      <c r="BF82">
        <v>4.3</v>
      </c>
      <c r="BG82">
        <v>6.66</v>
      </c>
      <c r="BH82" s="2">
        <v>21.058070817732769</v>
      </c>
    </row>
    <row r="83" spans="1:60" x14ac:dyDescent="0.25">
      <c r="A83">
        <v>41</v>
      </c>
      <c r="B83">
        <v>-52.594955059999997</v>
      </c>
      <c r="C83">
        <v>-17.738480450000001</v>
      </c>
      <c r="D83" t="s">
        <v>189</v>
      </c>
      <c r="E83" s="3">
        <v>46203</v>
      </c>
      <c r="F83" t="s">
        <v>62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O83">
        <v>440359</v>
      </c>
      <c r="P83">
        <v>1</v>
      </c>
      <c r="Q83">
        <v>1001</v>
      </c>
      <c r="T83">
        <v>232</v>
      </c>
      <c r="V83" t="s">
        <v>70</v>
      </c>
      <c r="W83" t="s">
        <v>67</v>
      </c>
      <c r="X83" t="s">
        <v>191</v>
      </c>
      <c r="Y83">
        <v>82</v>
      </c>
      <c r="AC83" t="s">
        <v>69</v>
      </c>
      <c r="AF83" t="s">
        <v>69</v>
      </c>
      <c r="AH83" t="s">
        <v>69</v>
      </c>
      <c r="AI83" t="s">
        <v>69</v>
      </c>
      <c r="AM83">
        <v>1.08</v>
      </c>
      <c r="AN83" s="2">
        <v>-0.54231209226107469</v>
      </c>
      <c r="AR83">
        <v>2.7700000000000005</v>
      </c>
      <c r="AS83">
        <v>1.61</v>
      </c>
      <c r="AT83">
        <v>0.42999999999999994</v>
      </c>
      <c r="AU83">
        <v>0.81999999999999984</v>
      </c>
      <c r="BB83">
        <v>28.817226360400412</v>
      </c>
      <c r="BD83" s="2">
        <f t="shared" si="1"/>
        <v>18.817226360400412</v>
      </c>
      <c r="BF83">
        <v>4.3</v>
      </c>
      <c r="BG83">
        <v>6.69</v>
      </c>
      <c r="BH83" s="2">
        <v>20.402815344546003</v>
      </c>
    </row>
    <row r="84" spans="1:60" x14ac:dyDescent="0.25">
      <c r="A84">
        <v>42</v>
      </c>
      <c r="B84">
        <v>-52.596183719999999</v>
      </c>
      <c r="C84">
        <v>-17.74137421</v>
      </c>
      <c r="D84" t="s">
        <v>192</v>
      </c>
      <c r="E84" s="3">
        <v>46203</v>
      </c>
      <c r="F84" t="s">
        <v>62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O84">
        <v>440359</v>
      </c>
      <c r="P84">
        <v>1</v>
      </c>
      <c r="Q84">
        <v>1001</v>
      </c>
      <c r="T84">
        <v>233</v>
      </c>
      <c r="V84" t="s">
        <v>66</v>
      </c>
      <c r="W84" t="s">
        <v>67</v>
      </c>
      <c r="X84" t="s">
        <v>193</v>
      </c>
      <c r="Y84">
        <v>83</v>
      </c>
      <c r="AC84" t="s">
        <v>69</v>
      </c>
      <c r="AE84" t="s">
        <v>69</v>
      </c>
      <c r="AF84" t="s">
        <v>69</v>
      </c>
      <c r="AH84" t="s">
        <v>69</v>
      </c>
      <c r="AI84" t="s">
        <v>69</v>
      </c>
      <c r="AM84">
        <v>0.52</v>
      </c>
      <c r="AN84" s="2">
        <v>-0.70865411371857712</v>
      </c>
      <c r="AR84">
        <v>0.52</v>
      </c>
      <c r="AS84">
        <v>7.02</v>
      </c>
      <c r="AT84">
        <v>0.54000000000000015</v>
      </c>
      <c r="AU84">
        <v>5.6099999999999994</v>
      </c>
      <c r="BB84">
        <v>26.875312294237741</v>
      </c>
      <c r="BC84" s="2">
        <v>11.7252351972745</v>
      </c>
      <c r="BD84" s="2">
        <f t="shared" si="1"/>
        <v>11.7252351972745</v>
      </c>
      <c r="BF84">
        <v>4.8</v>
      </c>
      <c r="BG84">
        <v>6.98</v>
      </c>
      <c r="BH84" s="2">
        <v>15.030776990654036</v>
      </c>
    </row>
    <row r="85" spans="1:60" x14ac:dyDescent="0.25">
      <c r="A85">
        <v>42</v>
      </c>
      <c r="B85">
        <v>-52.596183719999999</v>
      </c>
      <c r="C85">
        <v>-17.74137421</v>
      </c>
      <c r="D85" t="s">
        <v>192</v>
      </c>
      <c r="E85" s="3">
        <v>46203</v>
      </c>
      <c r="F85" t="s">
        <v>62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t="s">
        <v>65</v>
      </c>
      <c r="O85">
        <v>440359</v>
      </c>
      <c r="P85">
        <v>1</v>
      </c>
      <c r="Q85">
        <v>1001</v>
      </c>
      <c r="T85">
        <v>233</v>
      </c>
      <c r="V85" t="s">
        <v>70</v>
      </c>
      <c r="W85" t="s">
        <v>67</v>
      </c>
      <c r="X85" t="s">
        <v>194</v>
      </c>
      <c r="Y85">
        <v>84</v>
      </c>
      <c r="AC85" t="s">
        <v>69</v>
      </c>
      <c r="AF85" t="s">
        <v>69</v>
      </c>
      <c r="AH85" t="s">
        <v>69</v>
      </c>
      <c r="AI85" t="s">
        <v>69</v>
      </c>
      <c r="AM85">
        <v>0.58999999999999986</v>
      </c>
      <c r="AN85" s="2">
        <v>-1.041338156633582</v>
      </c>
      <c r="AR85">
        <v>0.28000000000000003</v>
      </c>
      <c r="AS85">
        <v>7.24</v>
      </c>
      <c r="AT85">
        <v>0.45999999999999996</v>
      </c>
      <c r="AU85">
        <v>4.6000000000000005</v>
      </c>
      <c r="BB85">
        <v>26.381129574196851</v>
      </c>
      <c r="BD85" s="2">
        <f t="shared" si="1"/>
        <v>16.381129574196851</v>
      </c>
      <c r="BF85">
        <v>4.8499999999999996</v>
      </c>
      <c r="BG85">
        <v>7.06</v>
      </c>
      <c r="BH85" s="2">
        <v>13.81567612317343</v>
      </c>
    </row>
    <row r="86" spans="1:60" x14ac:dyDescent="0.25">
      <c r="A86">
        <v>43</v>
      </c>
      <c r="B86">
        <v>-52.591285069999998</v>
      </c>
      <c r="C86">
        <v>-17.744687599999999</v>
      </c>
      <c r="D86" t="s">
        <v>195</v>
      </c>
      <c r="E86" s="3">
        <v>46203</v>
      </c>
      <c r="F86" t="s">
        <v>62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t="s">
        <v>65</v>
      </c>
      <c r="O86">
        <v>440359</v>
      </c>
      <c r="P86">
        <v>1</v>
      </c>
      <c r="Q86">
        <v>1001</v>
      </c>
      <c r="T86">
        <v>234</v>
      </c>
      <c r="V86" t="s">
        <v>66</v>
      </c>
      <c r="W86" t="s">
        <v>67</v>
      </c>
      <c r="X86" t="s">
        <v>196</v>
      </c>
      <c r="Y86">
        <v>85</v>
      </c>
      <c r="AC86" t="s">
        <v>69</v>
      </c>
      <c r="AF86" t="s">
        <v>69</v>
      </c>
      <c r="AH86" t="s">
        <v>69</v>
      </c>
      <c r="AI86" t="s">
        <v>69</v>
      </c>
      <c r="AM86">
        <v>0.79</v>
      </c>
      <c r="AN86" s="2">
        <v>-0.54231209226107469</v>
      </c>
      <c r="AR86">
        <v>3.27</v>
      </c>
      <c r="AS86">
        <v>0.96</v>
      </c>
      <c r="AT86">
        <v>0.55000000000000004</v>
      </c>
      <c r="AU86">
        <v>0.72</v>
      </c>
      <c r="BB86">
        <v>27.573340786758649</v>
      </c>
      <c r="BD86" s="2">
        <f t="shared" si="1"/>
        <v>17.573340786758649</v>
      </c>
      <c r="BF86">
        <v>4.24</v>
      </c>
      <c r="BG86">
        <v>6.69</v>
      </c>
      <c r="BH86" s="2">
        <v>20.402815344546003</v>
      </c>
    </row>
    <row r="87" spans="1:60" x14ac:dyDescent="0.25">
      <c r="A87">
        <v>43</v>
      </c>
      <c r="B87">
        <v>-52.591285069999998</v>
      </c>
      <c r="C87">
        <v>-17.744687599999999</v>
      </c>
      <c r="D87" t="s">
        <v>195</v>
      </c>
      <c r="E87" s="3">
        <v>46203</v>
      </c>
      <c r="F87" t="s">
        <v>62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t="s">
        <v>65</v>
      </c>
      <c r="O87">
        <v>440359</v>
      </c>
      <c r="P87">
        <v>1</v>
      </c>
      <c r="Q87">
        <v>1001</v>
      </c>
      <c r="T87">
        <v>234</v>
      </c>
      <c r="V87" t="s">
        <v>70</v>
      </c>
      <c r="W87" t="s">
        <v>67</v>
      </c>
      <c r="X87" t="s">
        <v>197</v>
      </c>
      <c r="Y87">
        <v>86</v>
      </c>
      <c r="AC87" t="s">
        <v>69</v>
      </c>
      <c r="AF87" t="s">
        <v>69</v>
      </c>
      <c r="AH87" t="s">
        <v>69</v>
      </c>
      <c r="AI87" t="s">
        <v>69</v>
      </c>
      <c r="AM87">
        <v>0.89999999999999991</v>
      </c>
      <c r="AN87" s="2">
        <v>-2.3720743282936008</v>
      </c>
      <c r="AR87">
        <v>3.3800000000000003</v>
      </c>
      <c r="AS87">
        <v>0.78</v>
      </c>
      <c r="AT87">
        <v>0.43999999999999995</v>
      </c>
      <c r="AU87">
        <v>0.59</v>
      </c>
      <c r="BB87">
        <v>24.92280657943186</v>
      </c>
      <c r="BD87" s="2">
        <f t="shared" si="1"/>
        <v>14.92280657943186</v>
      </c>
      <c r="BF87">
        <v>4.21</v>
      </c>
      <c r="BG87">
        <v>6.65</v>
      </c>
      <c r="BH87" s="2">
        <v>21.281132848400475</v>
      </c>
    </row>
    <row r="88" spans="1:60" x14ac:dyDescent="0.25">
      <c r="A88">
        <v>44</v>
      </c>
      <c r="B88">
        <v>-52.588854570000002</v>
      </c>
      <c r="C88">
        <v>-17.738293689999999</v>
      </c>
      <c r="D88" t="s">
        <v>198</v>
      </c>
      <c r="E88" s="3">
        <v>46203</v>
      </c>
      <c r="F88" t="s">
        <v>62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t="s">
        <v>65</v>
      </c>
      <c r="O88">
        <v>440359</v>
      </c>
      <c r="P88">
        <v>1</v>
      </c>
      <c r="Q88">
        <v>1001</v>
      </c>
      <c r="T88">
        <v>235</v>
      </c>
      <c r="V88" t="s">
        <v>66</v>
      </c>
      <c r="W88" t="s">
        <v>67</v>
      </c>
      <c r="X88" t="s">
        <v>199</v>
      </c>
      <c r="Y88">
        <v>87</v>
      </c>
      <c r="AC88" t="s">
        <v>69</v>
      </c>
      <c r="AE88" t="s">
        <v>69</v>
      </c>
      <c r="AF88" t="s">
        <v>69</v>
      </c>
      <c r="AH88" t="s">
        <v>69</v>
      </c>
      <c r="AI88" t="s">
        <v>69</v>
      </c>
      <c r="AM88">
        <v>0.87000000000000011</v>
      </c>
      <c r="AN88" s="2">
        <v>-2.7047583712086052</v>
      </c>
      <c r="AR88">
        <v>2.37</v>
      </c>
      <c r="AS88">
        <v>2.58</v>
      </c>
      <c r="AT88">
        <v>0.38000000000000012</v>
      </c>
      <c r="AU88">
        <v>1.92</v>
      </c>
      <c r="BB88">
        <v>26.443090023258321</v>
      </c>
      <c r="BC88" s="2">
        <v>10.457834305156201</v>
      </c>
      <c r="BD88" s="2">
        <f t="shared" si="1"/>
        <v>10.457834305156201</v>
      </c>
      <c r="BF88">
        <v>4.3600000000000003</v>
      </c>
      <c r="BG88">
        <v>6.75</v>
      </c>
      <c r="BH88" s="2">
        <v>19.152837910630666</v>
      </c>
    </row>
    <row r="89" spans="1:60" x14ac:dyDescent="0.25">
      <c r="A89">
        <v>44</v>
      </c>
      <c r="B89">
        <v>-52.588854570000002</v>
      </c>
      <c r="C89">
        <v>-17.738293689999999</v>
      </c>
      <c r="D89" t="s">
        <v>198</v>
      </c>
      <c r="E89" s="3">
        <v>46203</v>
      </c>
      <c r="F89" t="s">
        <v>62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t="s">
        <v>65</v>
      </c>
      <c r="O89">
        <v>440359</v>
      </c>
      <c r="P89">
        <v>1</v>
      </c>
      <c r="Q89">
        <v>1001</v>
      </c>
      <c r="T89">
        <v>235</v>
      </c>
      <c r="V89" t="s">
        <v>70</v>
      </c>
      <c r="W89" t="s">
        <v>67</v>
      </c>
      <c r="X89" t="s">
        <v>200</v>
      </c>
      <c r="Y89">
        <v>88</v>
      </c>
      <c r="AC89" t="s">
        <v>69</v>
      </c>
      <c r="AF89" t="s">
        <v>69</v>
      </c>
      <c r="AH89" t="s">
        <v>69</v>
      </c>
      <c r="AI89" t="s">
        <v>69</v>
      </c>
      <c r="AM89">
        <v>1.04</v>
      </c>
      <c r="AN89" s="2">
        <v>-2.2057323068360986</v>
      </c>
      <c r="AR89">
        <v>2.71</v>
      </c>
      <c r="AS89">
        <v>2.59</v>
      </c>
      <c r="AT89">
        <v>0.39000000000000007</v>
      </c>
      <c r="AU89">
        <v>1.9</v>
      </c>
      <c r="BB89">
        <v>28.930312659916041</v>
      </c>
      <c r="BD89" s="2">
        <f t="shared" si="1"/>
        <v>18.930312659916041</v>
      </c>
      <c r="BF89">
        <v>4.37</v>
      </c>
      <c r="BG89">
        <v>6.67</v>
      </c>
      <c r="BH89" s="2">
        <v>20.837346851954731</v>
      </c>
    </row>
    <row r="90" spans="1:60" x14ac:dyDescent="0.25">
      <c r="A90">
        <v>45</v>
      </c>
      <c r="B90">
        <v>-52.590002800000001</v>
      </c>
      <c r="C90">
        <v>-17.743512970000001</v>
      </c>
      <c r="D90" t="s">
        <v>201</v>
      </c>
      <c r="E90" s="3">
        <v>46203</v>
      </c>
      <c r="F90" t="s">
        <v>62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t="s">
        <v>65</v>
      </c>
      <c r="O90">
        <v>440359</v>
      </c>
      <c r="P90">
        <v>1</v>
      </c>
      <c r="Q90">
        <v>1001</v>
      </c>
      <c r="T90">
        <v>236</v>
      </c>
      <c r="V90" t="s">
        <v>66</v>
      </c>
      <c r="W90" t="s">
        <v>67</v>
      </c>
      <c r="X90" t="s">
        <v>202</v>
      </c>
      <c r="Y90">
        <v>89</v>
      </c>
      <c r="AC90" t="s">
        <v>69</v>
      </c>
      <c r="AF90" t="s">
        <v>69</v>
      </c>
      <c r="AH90" t="s">
        <v>69</v>
      </c>
      <c r="AI90" t="s">
        <v>69</v>
      </c>
      <c r="AM90">
        <v>0.87000000000000011</v>
      </c>
      <c r="AN90" s="2">
        <v>6.277710787496523</v>
      </c>
      <c r="AR90">
        <v>1.07</v>
      </c>
      <c r="AS90">
        <v>5.1400000000000006</v>
      </c>
      <c r="AT90">
        <v>0.42999999999999994</v>
      </c>
      <c r="AU90">
        <v>3.37</v>
      </c>
      <c r="BB90">
        <v>25.705565628170859</v>
      </c>
      <c r="BD90" s="2">
        <f t="shared" si="1"/>
        <v>15.705565628170859</v>
      </c>
      <c r="BF90">
        <v>4.63</v>
      </c>
      <c r="BG90">
        <v>6.83</v>
      </c>
      <c r="BH90" s="2">
        <v>17.604506112853763</v>
      </c>
    </row>
    <row r="91" spans="1:60" x14ac:dyDescent="0.25">
      <c r="A91">
        <v>45</v>
      </c>
      <c r="B91">
        <v>-52.590002800000001</v>
      </c>
      <c r="C91">
        <v>-17.743512970000001</v>
      </c>
      <c r="D91" t="s">
        <v>201</v>
      </c>
      <c r="E91" s="3">
        <v>46203</v>
      </c>
      <c r="F91" t="s">
        <v>62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t="s">
        <v>65</v>
      </c>
      <c r="O91">
        <v>440359</v>
      </c>
      <c r="P91">
        <v>1</v>
      </c>
      <c r="Q91">
        <v>1001</v>
      </c>
      <c r="T91">
        <v>236</v>
      </c>
      <c r="V91" t="s">
        <v>70</v>
      </c>
      <c r="W91" t="s">
        <v>67</v>
      </c>
      <c r="X91" t="s">
        <v>203</v>
      </c>
      <c r="Y91">
        <v>90</v>
      </c>
      <c r="AC91" t="s">
        <v>69</v>
      </c>
      <c r="AF91" t="s">
        <v>69</v>
      </c>
      <c r="AH91" t="s">
        <v>69</v>
      </c>
      <c r="AI91" t="s">
        <v>69</v>
      </c>
      <c r="AM91">
        <v>0.91000000000000014</v>
      </c>
      <c r="AN91" s="2">
        <v>-2.0393902853785959</v>
      </c>
      <c r="AR91">
        <v>1.26</v>
      </c>
      <c r="AS91">
        <v>4.6999999999999993</v>
      </c>
      <c r="AT91">
        <v>0.34</v>
      </c>
      <c r="AU91">
        <v>2.3000000000000003</v>
      </c>
      <c r="BB91">
        <v>23.30900239742013</v>
      </c>
      <c r="BD91" s="2">
        <f t="shared" si="1"/>
        <v>13.30900239742013</v>
      </c>
      <c r="BF91">
        <v>4.62</v>
      </c>
      <c r="BG91">
        <v>6.79</v>
      </c>
      <c r="BH91" s="2">
        <v>18.362359654363456</v>
      </c>
    </row>
    <row r="92" spans="1:60" x14ac:dyDescent="0.25">
      <c r="A92">
        <v>46</v>
      </c>
      <c r="B92">
        <v>-52.587213239999997</v>
      </c>
      <c r="C92">
        <v>-17.74533082</v>
      </c>
      <c r="D92" t="s">
        <v>204</v>
      </c>
      <c r="E92" s="3">
        <v>46203</v>
      </c>
      <c r="F92" t="s">
        <v>62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t="s">
        <v>65</v>
      </c>
      <c r="O92">
        <v>440359</v>
      </c>
      <c r="P92">
        <v>1</v>
      </c>
      <c r="Q92">
        <v>1001</v>
      </c>
      <c r="T92">
        <v>237</v>
      </c>
      <c r="V92" t="s">
        <v>66</v>
      </c>
      <c r="W92" t="s">
        <v>67</v>
      </c>
      <c r="X92" t="s">
        <v>205</v>
      </c>
      <c r="Y92">
        <v>91</v>
      </c>
      <c r="AC92" t="s">
        <v>69</v>
      </c>
      <c r="AE92" t="s">
        <v>69</v>
      </c>
      <c r="AF92" t="s">
        <v>69</v>
      </c>
      <c r="AH92" t="s">
        <v>69</v>
      </c>
      <c r="AI92" t="s">
        <v>69</v>
      </c>
      <c r="AM92">
        <v>0.54</v>
      </c>
      <c r="AN92" s="2">
        <v>-2.2057323068360986</v>
      </c>
      <c r="AR92">
        <v>0.75</v>
      </c>
      <c r="AS92">
        <v>3.89</v>
      </c>
      <c r="AT92">
        <v>0.37</v>
      </c>
      <c r="AU92">
        <v>2.5</v>
      </c>
      <c r="BB92">
        <v>26.262888045132879</v>
      </c>
      <c r="BC92" s="2">
        <v>9.3714906833405003</v>
      </c>
      <c r="BD92" s="2">
        <f t="shared" si="1"/>
        <v>9.3714906833405003</v>
      </c>
      <c r="BF92">
        <v>4.72</v>
      </c>
      <c r="BG92">
        <v>6.62</v>
      </c>
      <c r="BH92" s="2">
        <v>21.964596308665367</v>
      </c>
    </row>
    <row r="93" spans="1:60" x14ac:dyDescent="0.25">
      <c r="A93">
        <v>46</v>
      </c>
      <c r="B93">
        <v>-52.587213239999997</v>
      </c>
      <c r="C93">
        <v>-17.74533082</v>
      </c>
      <c r="D93" t="s">
        <v>204</v>
      </c>
      <c r="E93" s="3">
        <v>46203</v>
      </c>
      <c r="F93" t="s">
        <v>62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t="s">
        <v>65</v>
      </c>
      <c r="O93">
        <v>440359</v>
      </c>
      <c r="P93">
        <v>1</v>
      </c>
      <c r="Q93">
        <v>1001</v>
      </c>
      <c r="T93">
        <v>237</v>
      </c>
      <c r="V93" t="s">
        <v>70</v>
      </c>
      <c r="W93" t="s">
        <v>67</v>
      </c>
      <c r="X93" t="s">
        <v>206</v>
      </c>
      <c r="Y93">
        <v>92</v>
      </c>
      <c r="AC93" t="s">
        <v>69</v>
      </c>
      <c r="AF93" t="s">
        <v>69</v>
      </c>
      <c r="AH93" t="s">
        <v>69</v>
      </c>
      <c r="AI93" t="s">
        <v>69</v>
      </c>
      <c r="AM93">
        <v>0.55000000000000027</v>
      </c>
      <c r="AN93" s="2">
        <v>-2.3720743282936008</v>
      </c>
      <c r="AR93">
        <v>0.74</v>
      </c>
      <c r="AS93">
        <v>3.7199999999999998</v>
      </c>
      <c r="AT93">
        <v>0.31</v>
      </c>
      <c r="AU93">
        <v>2.15</v>
      </c>
      <c r="BB93">
        <v>26.573415794016309</v>
      </c>
      <c r="BD93" s="2">
        <f t="shared" si="1"/>
        <v>16.573415794016309</v>
      </c>
      <c r="BF93">
        <v>4.68</v>
      </c>
      <c r="BG93">
        <v>6.72</v>
      </c>
      <c r="BH93" s="2">
        <v>19.767949190915541</v>
      </c>
    </row>
    <row r="94" spans="1:60" x14ac:dyDescent="0.25">
      <c r="A94">
        <v>47</v>
      </c>
      <c r="B94">
        <v>-52.707876380000002</v>
      </c>
      <c r="C94">
        <v>-17.58612965</v>
      </c>
      <c r="D94" t="s">
        <v>207</v>
      </c>
      <c r="E94" s="3">
        <v>46203</v>
      </c>
      <c r="F94" t="s">
        <v>62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t="s">
        <v>65</v>
      </c>
      <c r="O94">
        <v>440360</v>
      </c>
      <c r="P94">
        <v>1</v>
      </c>
      <c r="Q94">
        <v>1001</v>
      </c>
      <c r="T94">
        <v>260</v>
      </c>
      <c r="V94" t="s">
        <v>66</v>
      </c>
      <c r="W94" t="s">
        <v>67</v>
      </c>
      <c r="X94" t="s">
        <v>208</v>
      </c>
      <c r="Y94">
        <v>93</v>
      </c>
      <c r="AC94" t="s">
        <v>69</v>
      </c>
      <c r="AE94" t="s">
        <v>69</v>
      </c>
      <c r="AF94" t="s">
        <v>69</v>
      </c>
      <c r="AH94" t="s">
        <v>69</v>
      </c>
      <c r="AI94" t="s">
        <v>69</v>
      </c>
      <c r="AM94">
        <v>1.26</v>
      </c>
      <c r="AN94" s="2">
        <v>9.4382091951890672</v>
      </c>
      <c r="AR94">
        <v>1.04</v>
      </c>
      <c r="AS94">
        <v>4.28</v>
      </c>
      <c r="AT94">
        <v>4.38</v>
      </c>
      <c r="AU94">
        <v>1.8900000000000001</v>
      </c>
      <c r="BB94">
        <v>24.912931786460721</v>
      </c>
      <c r="BC94" s="2">
        <v>11.5441779269719</v>
      </c>
      <c r="BD94" s="2">
        <f t="shared" si="1"/>
        <v>11.5441779269719</v>
      </c>
      <c r="BF94">
        <v>4.45</v>
      </c>
      <c r="BG94">
        <v>6.54</v>
      </c>
      <c r="BH94" s="2">
        <v>23.896401874355661</v>
      </c>
    </row>
    <row r="95" spans="1:60" x14ac:dyDescent="0.25">
      <c r="A95">
        <v>47</v>
      </c>
      <c r="B95">
        <v>-52.707876380000002</v>
      </c>
      <c r="C95">
        <v>-17.58612965</v>
      </c>
      <c r="D95" t="s">
        <v>207</v>
      </c>
      <c r="E95" s="3">
        <v>46203</v>
      </c>
      <c r="F95" t="s">
        <v>62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t="s">
        <v>65</v>
      </c>
      <c r="O95">
        <v>440360</v>
      </c>
      <c r="P95">
        <v>1</v>
      </c>
      <c r="Q95">
        <v>1001</v>
      </c>
      <c r="T95">
        <v>260</v>
      </c>
      <c r="V95" t="s">
        <v>70</v>
      </c>
      <c r="W95" t="s">
        <v>67</v>
      </c>
      <c r="X95" t="s">
        <v>209</v>
      </c>
      <c r="Y95">
        <v>94</v>
      </c>
      <c r="AC95" t="s">
        <v>69</v>
      </c>
      <c r="AE95" t="s">
        <v>69</v>
      </c>
      <c r="AF95" t="s">
        <v>69</v>
      </c>
      <c r="AH95" t="s">
        <v>69</v>
      </c>
      <c r="AI95" t="s">
        <v>69</v>
      </c>
      <c r="AM95">
        <v>1.18</v>
      </c>
      <c r="AN95" s="2">
        <v>6.9430788733265327</v>
      </c>
      <c r="AR95">
        <v>0.84000000000000008</v>
      </c>
      <c r="AS95">
        <v>3.92</v>
      </c>
      <c r="AT95">
        <v>4.18</v>
      </c>
      <c r="AU95">
        <v>2.14</v>
      </c>
      <c r="BB95">
        <v>23.57263662719447</v>
      </c>
      <c r="BC95" s="2">
        <v>11.001006116064</v>
      </c>
      <c r="BD95" s="2">
        <f t="shared" si="1"/>
        <v>11.001006116064</v>
      </c>
      <c r="BF95">
        <v>4.51</v>
      </c>
      <c r="BG95">
        <v>6.67</v>
      </c>
      <c r="BH95" s="2">
        <v>20.837346851954731</v>
      </c>
    </row>
    <row r="96" spans="1:60" x14ac:dyDescent="0.25">
      <c r="A96">
        <v>48</v>
      </c>
      <c r="B96">
        <v>-52.707402559999998</v>
      </c>
      <c r="C96">
        <v>-17.591148069999999</v>
      </c>
      <c r="D96" t="s">
        <v>210</v>
      </c>
      <c r="E96" s="3">
        <v>46203</v>
      </c>
      <c r="F96" t="s">
        <v>62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t="s">
        <v>65</v>
      </c>
      <c r="O96">
        <v>440360</v>
      </c>
      <c r="P96">
        <v>1</v>
      </c>
      <c r="Q96">
        <v>1001</v>
      </c>
      <c r="T96">
        <v>261</v>
      </c>
      <c r="V96" t="s">
        <v>66</v>
      </c>
      <c r="W96" t="s">
        <v>67</v>
      </c>
      <c r="X96" t="s">
        <v>211</v>
      </c>
      <c r="Y96">
        <v>95</v>
      </c>
      <c r="AC96" t="s">
        <v>69</v>
      </c>
      <c r="AE96" t="s">
        <v>69</v>
      </c>
      <c r="AF96" t="s">
        <v>69</v>
      </c>
      <c r="AH96" t="s">
        <v>69</v>
      </c>
      <c r="AI96" t="s">
        <v>69</v>
      </c>
      <c r="AM96">
        <v>1.620000000000001</v>
      </c>
      <c r="AN96" s="2">
        <v>-2.3720743282936008</v>
      </c>
      <c r="AR96">
        <v>2.14</v>
      </c>
      <c r="AS96">
        <v>0.69000000000000006</v>
      </c>
      <c r="AT96">
        <v>4.6100000000000003</v>
      </c>
      <c r="AU96">
        <v>0.63</v>
      </c>
      <c r="BB96">
        <v>27.700394590888521</v>
      </c>
      <c r="BC96" s="2">
        <v>10.2767770348536</v>
      </c>
      <c r="BD96" s="2">
        <f t="shared" si="1"/>
        <v>10.2767770348536</v>
      </c>
      <c r="BF96">
        <v>4.17</v>
      </c>
      <c r="BG96">
        <v>6.65</v>
      </c>
      <c r="BH96" s="2">
        <v>21.281132848400475</v>
      </c>
    </row>
    <row r="97" spans="1:60" x14ac:dyDescent="0.25">
      <c r="A97">
        <v>48</v>
      </c>
      <c r="B97">
        <v>-52.707402559999998</v>
      </c>
      <c r="C97">
        <v>-17.591148069999999</v>
      </c>
      <c r="D97" t="s">
        <v>210</v>
      </c>
      <c r="E97" s="3">
        <v>46203</v>
      </c>
      <c r="F97" t="s">
        <v>62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t="s">
        <v>65</v>
      </c>
      <c r="O97">
        <v>440360</v>
      </c>
      <c r="P97">
        <v>1</v>
      </c>
      <c r="Q97">
        <v>1001</v>
      </c>
      <c r="T97">
        <v>261</v>
      </c>
      <c r="V97" t="s">
        <v>70</v>
      </c>
      <c r="W97" t="s">
        <v>67</v>
      </c>
      <c r="X97" t="s">
        <v>212</v>
      </c>
      <c r="Y97">
        <v>96</v>
      </c>
      <c r="AC97" t="s">
        <v>69</v>
      </c>
      <c r="AF97" t="s">
        <v>69</v>
      </c>
      <c r="AH97" t="s">
        <v>69</v>
      </c>
      <c r="AI97" t="s">
        <v>69</v>
      </c>
      <c r="AM97">
        <v>1.28</v>
      </c>
      <c r="AN97" s="2">
        <v>-2.3720743282936008</v>
      </c>
      <c r="AR97">
        <v>1.75</v>
      </c>
      <c r="AS97">
        <v>1.05</v>
      </c>
      <c r="AT97">
        <v>4.7299999999999995</v>
      </c>
      <c r="AU97">
        <v>1.32</v>
      </c>
      <c r="BB97">
        <v>25.270627920700431</v>
      </c>
      <c r="BD97" s="2">
        <f t="shared" si="1"/>
        <v>15.270627920700431</v>
      </c>
      <c r="BF97">
        <v>4.33</v>
      </c>
      <c r="BG97">
        <v>6.7</v>
      </c>
      <c r="BH97" s="2">
        <v>20.188959557144408</v>
      </c>
    </row>
    <row r="98" spans="1:60" x14ac:dyDescent="0.25">
      <c r="A98">
        <v>49</v>
      </c>
      <c r="B98">
        <v>-52.704072150000002</v>
      </c>
      <c r="C98">
        <v>-17.590752609999999</v>
      </c>
      <c r="D98" t="s">
        <v>213</v>
      </c>
      <c r="E98" s="3">
        <v>46203</v>
      </c>
      <c r="F98" t="s">
        <v>62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t="s">
        <v>65</v>
      </c>
      <c r="O98">
        <v>440360</v>
      </c>
      <c r="P98">
        <v>1</v>
      </c>
      <c r="Q98">
        <v>1001</v>
      </c>
      <c r="T98">
        <v>262</v>
      </c>
      <c r="V98" t="s">
        <v>66</v>
      </c>
      <c r="W98" t="s">
        <v>67</v>
      </c>
      <c r="X98" t="s">
        <v>214</v>
      </c>
      <c r="Y98">
        <v>97</v>
      </c>
      <c r="AC98" t="s">
        <v>69</v>
      </c>
      <c r="AF98" t="s">
        <v>69</v>
      </c>
      <c r="AH98" t="s">
        <v>69</v>
      </c>
      <c r="AI98" t="s">
        <v>69</v>
      </c>
      <c r="AM98">
        <v>0.75000000000000044</v>
      </c>
      <c r="AN98" s="2">
        <v>2.7845283368889731</v>
      </c>
      <c r="AR98">
        <v>1.9700000000000002</v>
      </c>
      <c r="AS98">
        <v>2.13</v>
      </c>
      <c r="AT98">
        <v>0.66</v>
      </c>
      <c r="AU98">
        <v>0.91000000000000014</v>
      </c>
      <c r="BB98">
        <v>24.726857149649049</v>
      </c>
      <c r="BD98" s="2">
        <f t="shared" si="1"/>
        <v>14.726857149649049</v>
      </c>
      <c r="BF98">
        <v>4.1900000000000004</v>
      </c>
      <c r="BG98">
        <v>6.73</v>
      </c>
      <c r="BH98" s="2">
        <v>19.560747867561467</v>
      </c>
    </row>
    <row r="99" spans="1:60" x14ac:dyDescent="0.25">
      <c r="A99">
        <v>49</v>
      </c>
      <c r="B99">
        <v>-52.704072150000002</v>
      </c>
      <c r="C99">
        <v>-17.590752609999999</v>
      </c>
      <c r="D99" t="s">
        <v>213</v>
      </c>
      <c r="E99" s="3">
        <v>46203</v>
      </c>
      <c r="F99" t="s">
        <v>62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t="s">
        <v>65</v>
      </c>
      <c r="O99">
        <v>440360</v>
      </c>
      <c r="P99">
        <v>1</v>
      </c>
      <c r="Q99">
        <v>1001</v>
      </c>
      <c r="T99">
        <v>262</v>
      </c>
      <c r="V99" t="s">
        <v>70</v>
      </c>
      <c r="W99" t="s">
        <v>67</v>
      </c>
      <c r="X99" t="s">
        <v>215</v>
      </c>
      <c r="Y99">
        <v>98</v>
      </c>
      <c r="AC99" t="s">
        <v>69</v>
      </c>
      <c r="AF99" t="s">
        <v>69</v>
      </c>
      <c r="AH99" t="s">
        <v>69</v>
      </c>
      <c r="AI99" t="s">
        <v>69</v>
      </c>
      <c r="AM99">
        <v>1.03</v>
      </c>
      <c r="AN99" s="2">
        <v>0.95476610085644664</v>
      </c>
      <c r="AR99">
        <v>1.5</v>
      </c>
      <c r="AS99">
        <v>2.2400000000000002</v>
      </c>
      <c r="AT99">
        <v>0.57000000000000006</v>
      </c>
      <c r="AU99">
        <v>1.03</v>
      </c>
      <c r="BB99">
        <v>22.38232000004237</v>
      </c>
      <c r="BD99" s="2">
        <f t="shared" si="1"/>
        <v>12.38232000004237</v>
      </c>
      <c r="BF99">
        <v>4.2300000000000004</v>
      </c>
      <c r="BG99">
        <v>6.76</v>
      </c>
      <c r="BH99" s="2">
        <v>18.952083987057659</v>
      </c>
    </row>
    <row r="100" spans="1:60" x14ac:dyDescent="0.25">
      <c r="A100">
        <v>50</v>
      </c>
      <c r="B100">
        <v>-52.704801619999998</v>
      </c>
      <c r="C100">
        <v>-17.58299963</v>
      </c>
      <c r="D100" t="s">
        <v>216</v>
      </c>
      <c r="E100" s="3">
        <v>46203</v>
      </c>
      <c r="F100" t="s">
        <v>62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t="s">
        <v>65</v>
      </c>
      <c r="O100">
        <v>440360</v>
      </c>
      <c r="P100">
        <v>1</v>
      </c>
      <c r="Q100">
        <v>1001</v>
      </c>
      <c r="T100">
        <v>263</v>
      </c>
      <c r="V100" t="s">
        <v>66</v>
      </c>
      <c r="W100" t="s">
        <v>67</v>
      </c>
      <c r="X100" t="s">
        <v>217</v>
      </c>
      <c r="Y100">
        <v>99</v>
      </c>
      <c r="AC100" t="s">
        <v>69</v>
      </c>
      <c r="AE100" t="s">
        <v>69</v>
      </c>
      <c r="AF100" t="s">
        <v>69</v>
      </c>
      <c r="AH100" t="s">
        <v>69</v>
      </c>
      <c r="AI100" t="s">
        <v>69</v>
      </c>
      <c r="AM100">
        <v>1.1100000000000001</v>
      </c>
      <c r="AN100" s="2">
        <v>-1.3740221995485868</v>
      </c>
      <c r="AR100">
        <v>2.3899999999999997</v>
      </c>
      <c r="AS100">
        <v>1.98</v>
      </c>
      <c r="AT100">
        <v>0.86999999999999988</v>
      </c>
      <c r="AU100">
        <v>0.90000000000000013</v>
      </c>
      <c r="BB100">
        <v>25.717528818140241</v>
      </c>
      <c r="BC100" s="2">
        <v>10.6388915754588</v>
      </c>
      <c r="BD100" s="2">
        <f t="shared" si="1"/>
        <v>10.6388915754588</v>
      </c>
      <c r="BF100">
        <v>4.0199999999999996</v>
      </c>
      <c r="BG100">
        <v>6.6</v>
      </c>
      <c r="BH100" s="2">
        <v>22.432390041170024</v>
      </c>
    </row>
    <row r="101" spans="1:60" x14ac:dyDescent="0.25">
      <c r="A101">
        <v>50</v>
      </c>
      <c r="B101">
        <v>-52.704801619999998</v>
      </c>
      <c r="C101">
        <v>-17.58299963</v>
      </c>
      <c r="D101" t="s">
        <v>216</v>
      </c>
      <c r="E101" s="3">
        <v>46203</v>
      </c>
      <c r="F101" t="s">
        <v>62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t="s">
        <v>65</v>
      </c>
      <c r="O101">
        <v>440360</v>
      </c>
      <c r="P101">
        <v>1</v>
      </c>
      <c r="Q101">
        <v>1001</v>
      </c>
      <c r="T101">
        <v>263</v>
      </c>
      <c r="V101" t="s">
        <v>70</v>
      </c>
      <c r="W101" t="s">
        <v>67</v>
      </c>
      <c r="X101" t="s">
        <v>218</v>
      </c>
      <c r="Y101">
        <v>100</v>
      </c>
      <c r="AC101" t="s">
        <v>69</v>
      </c>
      <c r="AF101" t="s">
        <v>69</v>
      </c>
      <c r="AH101" t="s">
        <v>69</v>
      </c>
      <c r="AI101" t="s">
        <v>69</v>
      </c>
      <c r="AM101">
        <v>0.93000000000000016</v>
      </c>
      <c r="AN101" s="2">
        <v>-1.041338156633582</v>
      </c>
      <c r="AR101">
        <v>2.2600000000000002</v>
      </c>
      <c r="AS101">
        <v>2.3899999999999997</v>
      </c>
      <c r="AT101">
        <v>0.82000000000000006</v>
      </c>
      <c r="AU101">
        <v>0.65</v>
      </c>
      <c r="BB101">
        <v>26.469281902109831</v>
      </c>
      <c r="BD101" s="2">
        <f t="shared" si="1"/>
        <v>16.469281902109831</v>
      </c>
      <c r="BF101">
        <v>4.1399999999999997</v>
      </c>
      <c r="BG101">
        <v>6.68</v>
      </c>
      <c r="BH101" s="2">
        <v>20.618936444217731</v>
      </c>
    </row>
    <row r="102" spans="1:60" x14ac:dyDescent="0.25">
      <c r="A102">
        <v>51</v>
      </c>
      <c r="B102">
        <v>-52.700546180000003</v>
      </c>
      <c r="C102">
        <v>-17.586542869999999</v>
      </c>
      <c r="D102" t="s">
        <v>219</v>
      </c>
      <c r="E102" s="3">
        <v>46203</v>
      </c>
      <c r="F102" t="s">
        <v>62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t="s">
        <v>65</v>
      </c>
      <c r="O102">
        <v>440360</v>
      </c>
      <c r="P102">
        <v>1</v>
      </c>
      <c r="Q102">
        <v>1001</v>
      </c>
      <c r="T102">
        <v>264</v>
      </c>
      <c r="V102" t="s">
        <v>66</v>
      </c>
      <c r="W102" t="s">
        <v>67</v>
      </c>
      <c r="X102" t="s">
        <v>220</v>
      </c>
      <c r="Y102">
        <v>101</v>
      </c>
      <c r="AC102" t="s">
        <v>69</v>
      </c>
      <c r="AF102" t="s">
        <v>69</v>
      </c>
      <c r="AH102" t="s">
        <v>69</v>
      </c>
      <c r="AI102" t="s">
        <v>69</v>
      </c>
      <c r="AM102">
        <v>0.67000000000000037</v>
      </c>
      <c r="AN102" s="2">
        <v>4.9469746158365044</v>
      </c>
      <c r="AR102">
        <v>0.31</v>
      </c>
      <c r="AS102">
        <v>7.48</v>
      </c>
      <c r="AT102">
        <v>1.56</v>
      </c>
      <c r="AU102">
        <v>4.33</v>
      </c>
      <c r="BB102">
        <v>27.156165136641992</v>
      </c>
      <c r="BD102" s="2">
        <f t="shared" si="1"/>
        <v>17.156165136641992</v>
      </c>
      <c r="BF102">
        <v>4.71</v>
      </c>
      <c r="BG102">
        <v>6.77</v>
      </c>
      <c r="BH102" s="2">
        <v>18.753434301927946</v>
      </c>
    </row>
    <row r="103" spans="1:60" x14ac:dyDescent="0.25">
      <c r="A103">
        <v>51</v>
      </c>
      <c r="B103">
        <v>-52.700546180000003</v>
      </c>
      <c r="C103">
        <v>-17.586542869999999</v>
      </c>
      <c r="D103" t="s">
        <v>219</v>
      </c>
      <c r="E103" s="3">
        <v>46203</v>
      </c>
      <c r="F103" t="s">
        <v>62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t="s">
        <v>65</v>
      </c>
      <c r="O103">
        <v>440360</v>
      </c>
      <c r="P103">
        <v>1</v>
      </c>
      <c r="Q103">
        <v>1001</v>
      </c>
      <c r="T103">
        <v>264</v>
      </c>
      <c r="V103" t="s">
        <v>70</v>
      </c>
      <c r="W103" t="s">
        <v>67</v>
      </c>
      <c r="X103" t="s">
        <v>221</v>
      </c>
      <c r="Y103">
        <v>102</v>
      </c>
      <c r="AC103" t="s">
        <v>69</v>
      </c>
      <c r="AF103" t="s">
        <v>69</v>
      </c>
      <c r="AH103" t="s">
        <v>69</v>
      </c>
      <c r="AI103" t="s">
        <v>69</v>
      </c>
      <c r="AM103">
        <v>0.73999999999999977</v>
      </c>
      <c r="AN103" s="2">
        <v>3.616238444176485</v>
      </c>
      <c r="AR103">
        <v>0.38</v>
      </c>
      <c r="AS103">
        <v>7.0299999999999994</v>
      </c>
      <c r="AT103">
        <v>2.0499999999999998</v>
      </c>
      <c r="AU103">
        <v>4</v>
      </c>
      <c r="BB103">
        <v>26.6071001327517</v>
      </c>
      <c r="BD103" s="2">
        <f t="shared" si="1"/>
        <v>16.6071001327517</v>
      </c>
      <c r="BF103">
        <v>4.72</v>
      </c>
      <c r="BG103">
        <v>6.83</v>
      </c>
      <c r="BH103" s="2">
        <v>17.604506112853763</v>
      </c>
    </row>
    <row r="104" spans="1:60" x14ac:dyDescent="0.25">
      <c r="A104">
        <v>52</v>
      </c>
      <c r="B104">
        <v>-52.652235159999996</v>
      </c>
      <c r="C104">
        <v>-17.718591750000002</v>
      </c>
      <c r="D104" t="s">
        <v>222</v>
      </c>
      <c r="E104" s="3">
        <v>46203</v>
      </c>
      <c r="F104" t="s">
        <v>62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t="s">
        <v>65</v>
      </c>
      <c r="O104">
        <v>440346</v>
      </c>
      <c r="P104">
        <v>1</v>
      </c>
      <c r="Q104">
        <v>1001</v>
      </c>
      <c r="T104">
        <v>278</v>
      </c>
      <c r="V104" t="s">
        <v>66</v>
      </c>
      <c r="W104" t="s">
        <v>67</v>
      </c>
      <c r="X104" t="s">
        <v>223</v>
      </c>
      <c r="Y104">
        <v>103</v>
      </c>
      <c r="AC104" t="s">
        <v>69</v>
      </c>
      <c r="AE104" t="s">
        <v>69</v>
      </c>
      <c r="AF104" t="s">
        <v>69</v>
      </c>
      <c r="AH104" t="s">
        <v>69</v>
      </c>
      <c r="AI104" t="s">
        <v>69</v>
      </c>
      <c r="AM104">
        <v>0.91000000000000059</v>
      </c>
      <c r="AN104" s="2">
        <v>-2.8711003926661078</v>
      </c>
      <c r="AR104">
        <v>1.31</v>
      </c>
      <c r="AS104">
        <v>0.98</v>
      </c>
      <c r="AT104">
        <v>0.52</v>
      </c>
      <c r="AU104">
        <v>1.94</v>
      </c>
      <c r="BB104">
        <v>28.14510639589318</v>
      </c>
      <c r="BC104" s="2">
        <v>9.3714906833405003</v>
      </c>
      <c r="BD104" s="2">
        <f t="shared" si="1"/>
        <v>9.3714906833405003</v>
      </c>
      <c r="BF104">
        <v>4.3</v>
      </c>
      <c r="BG104">
        <v>6.83</v>
      </c>
      <c r="BH104" s="2">
        <v>17.604506112853763</v>
      </c>
    </row>
    <row r="105" spans="1:60" x14ac:dyDescent="0.25">
      <c r="A105">
        <v>52</v>
      </c>
      <c r="B105">
        <v>-52.652235159999996</v>
      </c>
      <c r="C105">
        <v>-17.718591750000002</v>
      </c>
      <c r="D105" t="s">
        <v>222</v>
      </c>
      <c r="E105" s="3">
        <v>46203</v>
      </c>
      <c r="F105" t="s">
        <v>62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t="s">
        <v>65</v>
      </c>
      <c r="O105">
        <v>440346</v>
      </c>
      <c r="P105">
        <v>1</v>
      </c>
      <c r="Q105">
        <v>1001</v>
      </c>
      <c r="T105">
        <v>278</v>
      </c>
      <c r="V105" t="s">
        <v>70</v>
      </c>
      <c r="W105" t="s">
        <v>67</v>
      </c>
      <c r="X105" t="s">
        <v>224</v>
      </c>
      <c r="Y105">
        <v>104</v>
      </c>
      <c r="AC105" t="s">
        <v>69</v>
      </c>
      <c r="AE105" t="s">
        <v>69</v>
      </c>
      <c r="AF105" t="s">
        <v>69</v>
      </c>
      <c r="AH105" t="s">
        <v>69</v>
      </c>
      <c r="AI105" t="s">
        <v>69</v>
      </c>
      <c r="AM105">
        <v>0.7200000000000002</v>
      </c>
      <c r="AN105" s="2">
        <v>-3.2037844355811131</v>
      </c>
      <c r="AR105">
        <v>1.85</v>
      </c>
      <c r="AS105">
        <v>0.78</v>
      </c>
      <c r="AT105">
        <v>0.69</v>
      </c>
      <c r="AU105">
        <v>0.95</v>
      </c>
      <c r="BB105">
        <v>25.654867533756121</v>
      </c>
      <c r="BC105" s="2">
        <v>8.1040897912222007</v>
      </c>
      <c r="BD105" s="2">
        <f t="shared" si="1"/>
        <v>8.1040897912222007</v>
      </c>
      <c r="BF105">
        <v>4.21</v>
      </c>
      <c r="BG105">
        <v>6.84</v>
      </c>
      <c r="BH105" s="2">
        <v>17.41998130816366</v>
      </c>
    </row>
    <row r="106" spans="1:60" x14ac:dyDescent="0.25">
      <c r="A106">
        <v>53</v>
      </c>
      <c r="B106">
        <v>-52.646607670000002</v>
      </c>
      <c r="C106">
        <v>-17.719175929999999</v>
      </c>
      <c r="D106" t="s">
        <v>225</v>
      </c>
      <c r="E106" s="3">
        <v>46203</v>
      </c>
      <c r="F106" t="s">
        <v>62</v>
      </c>
      <c r="G106" t="s">
        <v>63</v>
      </c>
      <c r="H106">
        <v>0</v>
      </c>
      <c r="I106" t="s">
        <v>64</v>
      </c>
      <c r="J106">
        <v>1</v>
      </c>
      <c r="K106">
        <v>2</v>
      </c>
      <c r="L106">
        <v>0</v>
      </c>
      <c r="M106" t="s">
        <v>65</v>
      </c>
      <c r="O106">
        <v>440346</v>
      </c>
      <c r="P106">
        <v>1</v>
      </c>
      <c r="Q106">
        <v>1001</v>
      </c>
      <c r="T106">
        <v>279</v>
      </c>
      <c r="V106" t="s">
        <v>66</v>
      </c>
      <c r="W106" t="s">
        <v>67</v>
      </c>
      <c r="X106" t="s">
        <v>226</v>
      </c>
      <c r="Y106">
        <v>105</v>
      </c>
      <c r="AC106" t="s">
        <v>69</v>
      </c>
      <c r="AE106" t="s">
        <v>69</v>
      </c>
      <c r="AF106" t="s">
        <v>69</v>
      </c>
      <c r="AH106" t="s">
        <v>69</v>
      </c>
      <c r="AI106" t="s">
        <v>69</v>
      </c>
      <c r="AM106">
        <v>0.85999999999999988</v>
      </c>
      <c r="AN106" s="2">
        <v>-2.7047583712086052</v>
      </c>
      <c r="AR106">
        <v>4.33</v>
      </c>
      <c r="AS106">
        <v>0.67</v>
      </c>
      <c r="AT106">
        <v>0.7</v>
      </c>
      <c r="AU106">
        <v>0.63</v>
      </c>
      <c r="BB106">
        <v>25.06472211673946</v>
      </c>
      <c r="BC106" s="2">
        <v>9.7336052239457196</v>
      </c>
      <c r="BD106" s="2">
        <f t="shared" si="1"/>
        <v>9.7336052239457196</v>
      </c>
      <c r="BF106">
        <v>4.0199999999999996</v>
      </c>
      <c r="BG106">
        <v>6.53</v>
      </c>
      <c r="BH106" s="2">
        <v>24.149529521891953</v>
      </c>
    </row>
    <row r="107" spans="1:60" x14ac:dyDescent="0.25">
      <c r="A107">
        <v>53</v>
      </c>
      <c r="B107">
        <v>-52.646607670000002</v>
      </c>
      <c r="C107">
        <v>-17.719175929999999</v>
      </c>
      <c r="D107" t="s">
        <v>225</v>
      </c>
      <c r="E107" s="3">
        <v>46203</v>
      </c>
      <c r="F107" t="s">
        <v>62</v>
      </c>
      <c r="G107" t="s">
        <v>63</v>
      </c>
      <c r="H107">
        <v>0</v>
      </c>
      <c r="I107" t="s">
        <v>64</v>
      </c>
      <c r="J107">
        <v>1</v>
      </c>
      <c r="K107">
        <v>2</v>
      </c>
      <c r="L107">
        <v>0</v>
      </c>
      <c r="M107" t="s">
        <v>65</v>
      </c>
      <c r="O107">
        <v>440346</v>
      </c>
      <c r="P107">
        <v>1</v>
      </c>
      <c r="Q107">
        <v>1001</v>
      </c>
      <c r="T107">
        <v>279</v>
      </c>
      <c r="V107" t="s">
        <v>70</v>
      </c>
      <c r="W107" t="s">
        <v>67</v>
      </c>
      <c r="X107" t="s">
        <v>227</v>
      </c>
      <c r="Y107">
        <v>106</v>
      </c>
      <c r="AC107" t="s">
        <v>69</v>
      </c>
      <c r="AF107" t="s">
        <v>69</v>
      </c>
      <c r="AH107" t="s">
        <v>69</v>
      </c>
      <c r="AI107" t="s">
        <v>69</v>
      </c>
      <c r="AM107">
        <v>1.07</v>
      </c>
      <c r="AN107" s="2">
        <v>-3.0374424141236105</v>
      </c>
      <c r="AR107">
        <v>3.76</v>
      </c>
      <c r="AS107">
        <v>0.53000000000000014</v>
      </c>
      <c r="AT107">
        <v>0.59</v>
      </c>
      <c r="AU107">
        <v>0.56000000000000005</v>
      </c>
      <c r="BB107">
        <v>25.59439280370114</v>
      </c>
      <c r="BD107" s="2">
        <f t="shared" si="1"/>
        <v>15.59439280370114</v>
      </c>
      <c r="BF107">
        <v>4</v>
      </c>
      <c r="BG107">
        <v>6.54</v>
      </c>
      <c r="BH107" s="2">
        <v>23.896401874355661</v>
      </c>
    </row>
    <row r="108" spans="1:60" x14ac:dyDescent="0.25">
      <c r="A108">
        <v>54</v>
      </c>
      <c r="B108">
        <v>-52.655197999999999</v>
      </c>
      <c r="C108">
        <v>-17.7220385</v>
      </c>
      <c r="D108" t="s">
        <v>228</v>
      </c>
      <c r="E108" s="3">
        <v>46203</v>
      </c>
      <c r="F108" t="s">
        <v>62</v>
      </c>
      <c r="G108" t="s">
        <v>63</v>
      </c>
      <c r="H108">
        <v>0</v>
      </c>
      <c r="I108" t="s">
        <v>64</v>
      </c>
      <c r="J108">
        <v>1</v>
      </c>
      <c r="K108">
        <v>2</v>
      </c>
      <c r="L108">
        <v>0</v>
      </c>
      <c r="M108" t="s">
        <v>65</v>
      </c>
      <c r="O108">
        <v>440346</v>
      </c>
      <c r="P108">
        <v>1</v>
      </c>
      <c r="Q108">
        <v>1001</v>
      </c>
      <c r="T108">
        <v>280</v>
      </c>
      <c r="V108" t="s">
        <v>66</v>
      </c>
      <c r="W108" t="s">
        <v>67</v>
      </c>
      <c r="X108" t="s">
        <v>229</v>
      </c>
      <c r="Y108">
        <v>107</v>
      </c>
      <c r="AC108" t="s">
        <v>69</v>
      </c>
      <c r="AF108" t="s">
        <v>69</v>
      </c>
      <c r="AH108" t="s">
        <v>69</v>
      </c>
      <c r="AI108" t="s">
        <v>69</v>
      </c>
      <c r="AM108">
        <v>1.77</v>
      </c>
      <c r="AN108" s="2">
        <v>-2.5384163497511034</v>
      </c>
      <c r="AR108">
        <v>3.01</v>
      </c>
      <c r="AS108">
        <v>1.1200000000000001</v>
      </c>
      <c r="AT108">
        <v>0.61</v>
      </c>
      <c r="AU108">
        <v>0.81</v>
      </c>
      <c r="BB108">
        <v>27.788716420286448</v>
      </c>
      <c r="BD108" s="2">
        <f t="shared" si="1"/>
        <v>17.788716420286448</v>
      </c>
      <c r="BF108">
        <v>4.1100000000000003</v>
      </c>
      <c r="BG108">
        <v>6.65</v>
      </c>
      <c r="BH108" s="2">
        <v>21.281132848400475</v>
      </c>
    </row>
    <row r="109" spans="1:60" x14ac:dyDescent="0.25">
      <c r="A109">
        <v>54</v>
      </c>
      <c r="B109">
        <v>-52.655197999999999</v>
      </c>
      <c r="C109">
        <v>-17.7220385</v>
      </c>
      <c r="D109" t="s">
        <v>228</v>
      </c>
      <c r="E109" s="3">
        <v>46203</v>
      </c>
      <c r="F109" t="s">
        <v>62</v>
      </c>
      <c r="G109" t="s">
        <v>63</v>
      </c>
      <c r="H109">
        <v>0</v>
      </c>
      <c r="I109" t="s">
        <v>64</v>
      </c>
      <c r="J109">
        <v>1</v>
      </c>
      <c r="K109">
        <v>2</v>
      </c>
      <c r="L109">
        <v>0</v>
      </c>
      <c r="M109" t="s">
        <v>65</v>
      </c>
      <c r="O109">
        <v>440346</v>
      </c>
      <c r="P109">
        <v>1</v>
      </c>
      <c r="Q109">
        <v>1001</v>
      </c>
      <c r="T109">
        <v>280</v>
      </c>
      <c r="V109" t="s">
        <v>70</v>
      </c>
      <c r="W109" t="s">
        <v>67</v>
      </c>
      <c r="X109" t="s">
        <v>230</v>
      </c>
      <c r="Y109">
        <v>108</v>
      </c>
      <c r="AC109" t="s">
        <v>69</v>
      </c>
      <c r="AF109" t="s">
        <v>69</v>
      </c>
      <c r="AH109" t="s">
        <v>69</v>
      </c>
      <c r="AI109" t="s">
        <v>69</v>
      </c>
      <c r="AM109">
        <v>1.7</v>
      </c>
      <c r="AN109" s="2">
        <v>-2.5384163497511034</v>
      </c>
      <c r="AR109">
        <v>3.74</v>
      </c>
      <c r="AS109">
        <v>0.67</v>
      </c>
      <c r="AT109">
        <v>0.48999999999999988</v>
      </c>
      <c r="AU109">
        <v>0.32</v>
      </c>
      <c r="BB109">
        <v>25.532930370466659</v>
      </c>
      <c r="BD109" s="2">
        <f t="shared" si="1"/>
        <v>15.532930370466659</v>
      </c>
      <c r="BF109">
        <v>4.08</v>
      </c>
      <c r="BG109">
        <v>6.65</v>
      </c>
      <c r="BH109" s="2">
        <v>21.281132848400475</v>
      </c>
    </row>
    <row r="110" spans="1:60" x14ac:dyDescent="0.25">
      <c r="A110">
        <v>55</v>
      </c>
      <c r="B110">
        <v>-52.647919420000001</v>
      </c>
      <c r="C110">
        <v>-17.722613750000001</v>
      </c>
      <c r="D110" t="s">
        <v>231</v>
      </c>
      <c r="E110" s="3">
        <v>46203</v>
      </c>
      <c r="F110" t="s">
        <v>62</v>
      </c>
      <c r="G110" t="s">
        <v>63</v>
      </c>
      <c r="H110">
        <v>0</v>
      </c>
      <c r="I110" t="s">
        <v>64</v>
      </c>
      <c r="J110">
        <v>1</v>
      </c>
      <c r="K110">
        <v>2</v>
      </c>
      <c r="L110">
        <v>0</v>
      </c>
      <c r="M110" t="s">
        <v>65</v>
      </c>
      <c r="O110">
        <v>440346</v>
      </c>
      <c r="P110">
        <v>1</v>
      </c>
      <c r="Q110">
        <v>1001</v>
      </c>
      <c r="T110">
        <v>281</v>
      </c>
      <c r="V110" t="s">
        <v>66</v>
      </c>
      <c r="W110" t="s">
        <v>67</v>
      </c>
      <c r="X110" t="s">
        <v>232</v>
      </c>
      <c r="Y110">
        <v>109</v>
      </c>
      <c r="AC110" t="s">
        <v>69</v>
      </c>
      <c r="AF110" t="s">
        <v>69</v>
      </c>
      <c r="AH110" t="s">
        <v>69</v>
      </c>
      <c r="AI110" t="s">
        <v>69</v>
      </c>
      <c r="AM110">
        <v>1.8</v>
      </c>
      <c r="AN110" s="2">
        <v>-2.8711003926661078</v>
      </c>
      <c r="AR110">
        <v>4.57</v>
      </c>
      <c r="AS110">
        <v>0.2</v>
      </c>
      <c r="AT110">
        <v>0.39</v>
      </c>
      <c r="AU110">
        <v>0.13</v>
      </c>
      <c r="BB110">
        <v>29.32936184499113</v>
      </c>
      <c r="BD110" s="2">
        <f t="shared" si="1"/>
        <v>19.32936184499113</v>
      </c>
      <c r="BF110">
        <v>4.05</v>
      </c>
      <c r="BG110">
        <v>6.43</v>
      </c>
      <c r="BH110" s="2">
        <v>26.833065072643834</v>
      </c>
    </row>
    <row r="111" spans="1:60" x14ac:dyDescent="0.25">
      <c r="A111">
        <v>55</v>
      </c>
      <c r="B111">
        <v>-52.647919420000001</v>
      </c>
      <c r="C111">
        <v>-17.722613750000001</v>
      </c>
      <c r="D111" t="s">
        <v>231</v>
      </c>
      <c r="E111" s="3">
        <v>46203</v>
      </c>
      <c r="F111" t="s">
        <v>62</v>
      </c>
      <c r="G111" t="s">
        <v>63</v>
      </c>
      <c r="H111">
        <v>0</v>
      </c>
      <c r="I111" t="s">
        <v>64</v>
      </c>
      <c r="J111">
        <v>1</v>
      </c>
      <c r="K111">
        <v>2</v>
      </c>
      <c r="L111">
        <v>0</v>
      </c>
      <c r="M111" t="s">
        <v>65</v>
      </c>
      <c r="O111">
        <v>440346</v>
      </c>
      <c r="P111">
        <v>1</v>
      </c>
      <c r="Q111">
        <v>1001</v>
      </c>
      <c r="T111">
        <v>281</v>
      </c>
      <c r="V111" t="s">
        <v>70</v>
      </c>
      <c r="W111" t="s">
        <v>67</v>
      </c>
      <c r="X111" t="s">
        <v>233</v>
      </c>
      <c r="Y111">
        <v>110</v>
      </c>
      <c r="AC111" t="s">
        <v>69</v>
      </c>
      <c r="AF111" t="s">
        <v>69</v>
      </c>
      <c r="AH111" t="s">
        <v>69</v>
      </c>
      <c r="AI111" t="s">
        <v>69</v>
      </c>
      <c r="AM111">
        <v>1.68</v>
      </c>
      <c r="AN111" s="2">
        <v>-3.0374424141236105</v>
      </c>
      <c r="AR111">
        <v>4.59</v>
      </c>
      <c r="AS111">
        <v>0.26</v>
      </c>
      <c r="AT111">
        <v>0.31</v>
      </c>
      <c r="AU111">
        <v>0.16</v>
      </c>
      <c r="BB111">
        <v>27.229028594131361</v>
      </c>
      <c r="BD111" s="2">
        <f t="shared" si="1"/>
        <v>17.229028594131361</v>
      </c>
      <c r="BF111">
        <v>4.0599999999999996</v>
      </c>
      <c r="BG111">
        <v>6.48</v>
      </c>
      <c r="BH111" s="2">
        <v>25.455959953116267</v>
      </c>
    </row>
    <row r="112" spans="1:60" x14ac:dyDescent="0.25">
      <c r="A112">
        <v>56</v>
      </c>
      <c r="B112">
        <v>-52.652866490000001</v>
      </c>
      <c r="C112">
        <v>-17.723382050000001</v>
      </c>
      <c r="D112" t="s">
        <v>234</v>
      </c>
      <c r="E112" s="3">
        <v>46203</v>
      </c>
      <c r="F112" t="s">
        <v>62</v>
      </c>
      <c r="G112" t="s">
        <v>63</v>
      </c>
      <c r="H112">
        <v>0</v>
      </c>
      <c r="I112" t="s">
        <v>64</v>
      </c>
      <c r="J112">
        <v>1</v>
      </c>
      <c r="K112">
        <v>2</v>
      </c>
      <c r="L112">
        <v>0</v>
      </c>
      <c r="M112" t="s">
        <v>65</v>
      </c>
      <c r="O112">
        <v>440346</v>
      </c>
      <c r="P112">
        <v>1</v>
      </c>
      <c r="Q112">
        <v>1001</v>
      </c>
      <c r="T112">
        <v>282</v>
      </c>
      <c r="V112" t="s">
        <v>66</v>
      </c>
      <c r="W112" t="s">
        <v>67</v>
      </c>
      <c r="X112" t="s">
        <v>235</v>
      </c>
      <c r="Y112">
        <v>111</v>
      </c>
      <c r="AC112" t="s">
        <v>69</v>
      </c>
      <c r="AE112" t="s">
        <v>69</v>
      </c>
      <c r="AF112" t="s">
        <v>69</v>
      </c>
      <c r="AH112" t="s">
        <v>69</v>
      </c>
      <c r="AI112" t="s">
        <v>69</v>
      </c>
      <c r="AM112">
        <v>1.47</v>
      </c>
      <c r="AN112" s="2">
        <v>-2.2057323068360986</v>
      </c>
      <c r="AR112">
        <v>3.1</v>
      </c>
      <c r="AS112">
        <v>1.1300000000000001</v>
      </c>
      <c r="AT112">
        <v>0.64</v>
      </c>
      <c r="AU112">
        <v>1.02</v>
      </c>
      <c r="BB112">
        <v>29.35960047696295</v>
      </c>
      <c r="BC112" s="2">
        <v>10.2767770348536</v>
      </c>
      <c r="BD112" s="2">
        <f t="shared" si="1"/>
        <v>10.2767770348536</v>
      </c>
      <c r="BF112">
        <v>4.08</v>
      </c>
      <c r="BG112">
        <v>6.61</v>
      </c>
      <c r="BH112" s="2">
        <v>22.197260900679254</v>
      </c>
    </row>
    <row r="113" spans="1:60" x14ac:dyDescent="0.25">
      <c r="A113">
        <v>56</v>
      </c>
      <c r="B113">
        <v>-52.652866490000001</v>
      </c>
      <c r="C113">
        <v>-17.723382050000001</v>
      </c>
      <c r="D113" t="s">
        <v>234</v>
      </c>
      <c r="E113" s="3">
        <v>46203</v>
      </c>
      <c r="F113" t="s">
        <v>62</v>
      </c>
      <c r="G113" t="s">
        <v>63</v>
      </c>
      <c r="H113">
        <v>0</v>
      </c>
      <c r="I113" t="s">
        <v>64</v>
      </c>
      <c r="J113">
        <v>1</v>
      </c>
      <c r="K113">
        <v>2</v>
      </c>
      <c r="L113">
        <v>0</v>
      </c>
      <c r="M113" t="s">
        <v>65</v>
      </c>
      <c r="O113">
        <v>440346</v>
      </c>
      <c r="P113">
        <v>1</v>
      </c>
      <c r="Q113">
        <v>1001</v>
      </c>
      <c r="T113">
        <v>282</v>
      </c>
      <c r="V113" t="s">
        <v>70</v>
      </c>
      <c r="W113" t="s">
        <v>67</v>
      </c>
      <c r="X113" t="s">
        <v>236</v>
      </c>
      <c r="Y113">
        <v>112</v>
      </c>
      <c r="AC113" t="s">
        <v>69</v>
      </c>
      <c r="AF113" t="s">
        <v>69</v>
      </c>
      <c r="AH113" t="s">
        <v>69</v>
      </c>
      <c r="AI113" t="s">
        <v>69</v>
      </c>
      <c r="AM113">
        <v>1.1499999999999999</v>
      </c>
      <c r="AN113" s="2">
        <v>-2.5384163497511034</v>
      </c>
      <c r="AR113">
        <v>3.66</v>
      </c>
      <c r="AS113">
        <v>0.87999999999999989</v>
      </c>
      <c r="AT113">
        <v>0.47999999999999987</v>
      </c>
      <c r="AU113">
        <v>0.59</v>
      </c>
      <c r="BB113">
        <v>25.143025103126799</v>
      </c>
      <c r="BD113" s="2">
        <f t="shared" si="1"/>
        <v>15.143025103126799</v>
      </c>
      <c r="BF113">
        <v>4.0599999999999996</v>
      </c>
      <c r="BG113">
        <v>6.6</v>
      </c>
      <c r="BH113" s="2">
        <v>22.432390041170024</v>
      </c>
    </row>
    <row r="114" spans="1:60" x14ac:dyDescent="0.25">
      <c r="A114">
        <v>57</v>
      </c>
      <c r="B114">
        <v>-52.647455139999998</v>
      </c>
      <c r="C114">
        <v>-17.724499399999999</v>
      </c>
      <c r="D114" t="s">
        <v>237</v>
      </c>
      <c r="E114" s="3">
        <v>46203</v>
      </c>
      <c r="F114" t="s">
        <v>62</v>
      </c>
      <c r="G114" t="s">
        <v>63</v>
      </c>
      <c r="H114">
        <v>0</v>
      </c>
      <c r="I114" t="s">
        <v>64</v>
      </c>
      <c r="J114">
        <v>1</v>
      </c>
      <c r="K114">
        <v>2</v>
      </c>
      <c r="L114">
        <v>0</v>
      </c>
      <c r="M114" t="s">
        <v>65</v>
      </c>
      <c r="O114">
        <v>440346</v>
      </c>
      <c r="P114">
        <v>1</v>
      </c>
      <c r="Q114">
        <v>1001</v>
      </c>
      <c r="T114">
        <v>283</v>
      </c>
      <c r="V114" t="s">
        <v>66</v>
      </c>
      <c r="W114" t="s">
        <v>67</v>
      </c>
      <c r="X114" t="s">
        <v>238</v>
      </c>
      <c r="Y114">
        <v>113</v>
      </c>
      <c r="AC114" t="s">
        <v>69</v>
      </c>
      <c r="AF114" t="s">
        <v>69</v>
      </c>
      <c r="AH114" t="s">
        <v>69</v>
      </c>
      <c r="AI114" t="s">
        <v>69</v>
      </c>
      <c r="AM114">
        <v>1.24</v>
      </c>
      <c r="AN114" s="2">
        <v>-3.0374424141236105</v>
      </c>
      <c r="AR114">
        <v>3.46</v>
      </c>
      <c r="AS114">
        <v>1.0000000000000011E-2</v>
      </c>
      <c r="AT114">
        <v>0.21999999999999997</v>
      </c>
      <c r="AU114">
        <v>7.0000000000000007E-2</v>
      </c>
      <c r="BB114">
        <v>27.505581548759519</v>
      </c>
      <c r="BD114" s="2">
        <f t="shared" si="1"/>
        <v>17.505581548759519</v>
      </c>
      <c r="BF114">
        <v>4.03</v>
      </c>
      <c r="BG114">
        <v>6.67</v>
      </c>
      <c r="BH114" s="2">
        <v>20.837346851954731</v>
      </c>
    </row>
    <row r="115" spans="1:60" x14ac:dyDescent="0.25">
      <c r="A115">
        <v>57</v>
      </c>
      <c r="B115">
        <v>-52.647455139999998</v>
      </c>
      <c r="C115">
        <v>-17.724499399999999</v>
      </c>
      <c r="D115" t="s">
        <v>237</v>
      </c>
      <c r="E115" s="3">
        <v>46203</v>
      </c>
      <c r="F115" t="s">
        <v>62</v>
      </c>
      <c r="G115" t="s">
        <v>63</v>
      </c>
      <c r="H115">
        <v>0</v>
      </c>
      <c r="I115" t="s">
        <v>64</v>
      </c>
      <c r="J115">
        <v>1</v>
      </c>
      <c r="K115">
        <v>2</v>
      </c>
      <c r="L115">
        <v>0</v>
      </c>
      <c r="M115" t="s">
        <v>65</v>
      </c>
      <c r="O115">
        <v>440346</v>
      </c>
      <c r="P115">
        <v>1</v>
      </c>
      <c r="Q115">
        <v>1001</v>
      </c>
      <c r="T115">
        <v>283</v>
      </c>
      <c r="V115" t="s">
        <v>70</v>
      </c>
      <c r="W115" t="s">
        <v>67</v>
      </c>
      <c r="X115" t="s">
        <v>239</v>
      </c>
      <c r="Y115">
        <v>114</v>
      </c>
      <c r="AC115" t="s">
        <v>69</v>
      </c>
      <c r="AF115" t="s">
        <v>69</v>
      </c>
      <c r="AH115" t="s">
        <v>69</v>
      </c>
      <c r="AI115" t="s">
        <v>69</v>
      </c>
      <c r="AM115">
        <v>1.03</v>
      </c>
      <c r="AN115" s="2">
        <v>-3.0374424141236105</v>
      </c>
      <c r="AR115">
        <v>3.93</v>
      </c>
      <c r="AS115">
        <v>-1.0000000000000011E-2</v>
      </c>
      <c r="AT115">
        <v>0.21999999999999997</v>
      </c>
      <c r="AU115">
        <v>7.0000000000000007E-2</v>
      </c>
      <c r="BB115">
        <v>23.94824531323221</v>
      </c>
      <c r="BD115" s="2">
        <f t="shared" si="1"/>
        <v>13.94824531323221</v>
      </c>
      <c r="BF115">
        <v>4.0199999999999996</v>
      </c>
      <c r="BG115">
        <v>6.69</v>
      </c>
      <c r="BH115" s="2">
        <v>20.402815344546003</v>
      </c>
    </row>
    <row r="116" spans="1:60" x14ac:dyDescent="0.25">
      <c r="A116">
        <v>58</v>
      </c>
      <c r="B116">
        <v>-52.65880962</v>
      </c>
      <c r="C116">
        <v>-17.724638120000002</v>
      </c>
      <c r="D116" t="s">
        <v>240</v>
      </c>
      <c r="E116" s="3">
        <v>46203</v>
      </c>
      <c r="F116" t="s">
        <v>62</v>
      </c>
      <c r="G116" t="s">
        <v>63</v>
      </c>
      <c r="H116">
        <v>0</v>
      </c>
      <c r="I116" t="s">
        <v>64</v>
      </c>
      <c r="J116">
        <v>1</v>
      </c>
      <c r="K116">
        <v>2</v>
      </c>
      <c r="L116">
        <v>0</v>
      </c>
      <c r="M116" t="s">
        <v>65</v>
      </c>
      <c r="O116">
        <v>440346</v>
      </c>
      <c r="P116">
        <v>1</v>
      </c>
      <c r="Q116">
        <v>1001</v>
      </c>
      <c r="T116">
        <v>284</v>
      </c>
      <c r="V116" t="s">
        <v>66</v>
      </c>
      <c r="W116" t="s">
        <v>67</v>
      </c>
      <c r="X116" t="s">
        <v>241</v>
      </c>
      <c r="Y116">
        <v>115</v>
      </c>
      <c r="AC116" t="s">
        <v>69</v>
      </c>
      <c r="AE116" t="s">
        <v>69</v>
      </c>
      <c r="AF116" t="s">
        <v>69</v>
      </c>
      <c r="AH116" t="s">
        <v>69</v>
      </c>
      <c r="AI116" t="s">
        <v>69</v>
      </c>
      <c r="AM116">
        <v>1.1399999999999999</v>
      </c>
      <c r="AN116" s="2">
        <v>-2.5384163497511034</v>
      </c>
      <c r="AR116">
        <v>2.96</v>
      </c>
      <c r="AS116">
        <v>1.85</v>
      </c>
      <c r="AT116">
        <v>0.63</v>
      </c>
      <c r="AU116">
        <v>0.85000000000000009</v>
      </c>
      <c r="BB116">
        <v>27.31413369388525</v>
      </c>
      <c r="BC116" s="2">
        <v>10.6388915754588</v>
      </c>
      <c r="BD116" s="2">
        <f t="shared" si="1"/>
        <v>10.6388915754588</v>
      </c>
      <c r="BF116">
        <v>4.1399999999999997</v>
      </c>
      <c r="BG116">
        <v>6.56</v>
      </c>
      <c r="BH116" s="2">
        <v>23.398078378476725</v>
      </c>
    </row>
    <row r="117" spans="1:60" x14ac:dyDescent="0.25">
      <c r="A117">
        <v>58</v>
      </c>
      <c r="B117">
        <v>-52.65880962</v>
      </c>
      <c r="C117">
        <v>-17.724638120000002</v>
      </c>
      <c r="D117" t="s">
        <v>240</v>
      </c>
      <c r="E117" s="3">
        <v>46203</v>
      </c>
      <c r="F117" t="s">
        <v>62</v>
      </c>
      <c r="G117" t="s">
        <v>63</v>
      </c>
      <c r="H117">
        <v>0</v>
      </c>
      <c r="I117" t="s">
        <v>64</v>
      </c>
      <c r="J117">
        <v>1</v>
      </c>
      <c r="K117">
        <v>2</v>
      </c>
      <c r="L117">
        <v>0</v>
      </c>
      <c r="M117" t="s">
        <v>65</v>
      </c>
      <c r="O117">
        <v>440346</v>
      </c>
      <c r="P117">
        <v>1</v>
      </c>
      <c r="Q117">
        <v>1001</v>
      </c>
      <c r="T117">
        <v>284</v>
      </c>
      <c r="V117" t="s">
        <v>70</v>
      </c>
      <c r="W117" t="s">
        <v>67</v>
      </c>
      <c r="X117" t="s">
        <v>242</v>
      </c>
      <c r="Y117">
        <v>116</v>
      </c>
      <c r="AC117" t="s">
        <v>69</v>
      </c>
      <c r="AF117" t="s">
        <v>69</v>
      </c>
      <c r="AH117" t="s">
        <v>69</v>
      </c>
      <c r="AI117" t="s">
        <v>69</v>
      </c>
      <c r="AM117">
        <v>1.0900000000000001</v>
      </c>
      <c r="AN117" s="2">
        <v>-2.5384163497511034</v>
      </c>
      <c r="AR117">
        <v>3.12</v>
      </c>
      <c r="AS117">
        <v>1.36</v>
      </c>
      <c r="AT117">
        <v>0.53</v>
      </c>
      <c r="AU117">
        <v>0.75000000000000011</v>
      </c>
      <c r="BB117">
        <v>26.35217199483748</v>
      </c>
      <c r="BD117" s="2">
        <f t="shared" si="1"/>
        <v>16.35217199483748</v>
      </c>
      <c r="BF117">
        <v>4.1100000000000003</v>
      </c>
      <c r="BG117">
        <v>6.49</v>
      </c>
      <c r="BH117" s="2">
        <v>25.189138719482326</v>
      </c>
    </row>
    <row r="118" spans="1:60" x14ac:dyDescent="0.25">
      <c r="A118">
        <v>59</v>
      </c>
      <c r="B118">
        <v>-52.658734860000003</v>
      </c>
      <c r="C118">
        <v>-17.72819866</v>
      </c>
      <c r="D118" t="s">
        <v>243</v>
      </c>
      <c r="E118" s="3">
        <v>46203</v>
      </c>
      <c r="F118" t="s">
        <v>62</v>
      </c>
      <c r="G118" t="s">
        <v>63</v>
      </c>
      <c r="H118">
        <v>0</v>
      </c>
      <c r="I118" t="s">
        <v>64</v>
      </c>
      <c r="J118">
        <v>1</v>
      </c>
      <c r="K118">
        <v>2</v>
      </c>
      <c r="L118">
        <v>0</v>
      </c>
      <c r="M118" t="s">
        <v>65</v>
      </c>
      <c r="O118">
        <v>440346</v>
      </c>
      <c r="P118">
        <v>1</v>
      </c>
      <c r="Q118">
        <v>1001</v>
      </c>
      <c r="T118">
        <v>285</v>
      </c>
      <c r="V118" t="s">
        <v>66</v>
      </c>
      <c r="W118" t="s">
        <v>67</v>
      </c>
      <c r="X118" t="s">
        <v>244</v>
      </c>
      <c r="Y118">
        <v>117</v>
      </c>
      <c r="AC118" t="s">
        <v>69</v>
      </c>
      <c r="AF118" t="s">
        <v>69</v>
      </c>
      <c r="AH118" t="s">
        <v>69</v>
      </c>
      <c r="AI118" t="s">
        <v>69</v>
      </c>
      <c r="AM118">
        <v>1.32</v>
      </c>
      <c r="AN118" s="2">
        <v>-2.0393902853785959</v>
      </c>
      <c r="AR118">
        <v>2.6500000000000004</v>
      </c>
      <c r="AS118">
        <v>1.45</v>
      </c>
      <c r="AT118">
        <v>0.8899999999999999</v>
      </c>
      <c r="AU118">
        <v>1.02</v>
      </c>
      <c r="BB118">
        <v>27.266695291793379</v>
      </c>
      <c r="BD118" s="2">
        <f t="shared" si="1"/>
        <v>17.266695291793379</v>
      </c>
      <c r="BF118">
        <v>4.24</v>
      </c>
      <c r="BG118">
        <v>6.59</v>
      </c>
      <c r="BH118" s="2">
        <v>22.670009836384114</v>
      </c>
    </row>
    <row r="119" spans="1:60" x14ac:dyDescent="0.25">
      <c r="A119">
        <v>59</v>
      </c>
      <c r="B119">
        <v>-52.658734860000003</v>
      </c>
      <c r="C119">
        <v>-17.72819866</v>
      </c>
      <c r="D119" t="s">
        <v>243</v>
      </c>
      <c r="E119" s="3">
        <v>46203</v>
      </c>
      <c r="F119" t="s">
        <v>62</v>
      </c>
      <c r="G119" t="s">
        <v>63</v>
      </c>
      <c r="H119">
        <v>0</v>
      </c>
      <c r="I119" t="s">
        <v>64</v>
      </c>
      <c r="J119">
        <v>1</v>
      </c>
      <c r="K119">
        <v>2</v>
      </c>
      <c r="L119">
        <v>0</v>
      </c>
      <c r="M119" t="s">
        <v>65</v>
      </c>
      <c r="O119">
        <v>440346</v>
      </c>
      <c r="P119">
        <v>1</v>
      </c>
      <c r="Q119">
        <v>1001</v>
      </c>
      <c r="T119">
        <v>285</v>
      </c>
      <c r="V119" t="s">
        <v>70</v>
      </c>
      <c r="W119" t="s">
        <v>67</v>
      </c>
      <c r="X119" t="s">
        <v>245</v>
      </c>
      <c r="Y119">
        <v>118</v>
      </c>
      <c r="AC119" t="s">
        <v>69</v>
      </c>
      <c r="AF119" t="s">
        <v>69</v>
      </c>
      <c r="AH119" t="s">
        <v>69</v>
      </c>
      <c r="AI119" t="s">
        <v>69</v>
      </c>
      <c r="AM119">
        <v>1.31</v>
      </c>
      <c r="AN119" s="2">
        <v>-2.3720743282936008</v>
      </c>
      <c r="AR119">
        <v>3.03</v>
      </c>
      <c r="AS119">
        <v>1.23</v>
      </c>
      <c r="AT119">
        <v>0.69</v>
      </c>
      <c r="AU119">
        <v>0.81</v>
      </c>
      <c r="BB119">
        <v>23.35484658006726</v>
      </c>
      <c r="BD119" s="2">
        <f t="shared" si="1"/>
        <v>13.35484658006726</v>
      </c>
      <c r="BF119">
        <v>4.22</v>
      </c>
      <c r="BG119">
        <v>6.59</v>
      </c>
      <c r="BH119" s="2">
        <v>22.670009836384114</v>
      </c>
    </row>
    <row r="120" spans="1:60" x14ac:dyDescent="0.25">
      <c r="A120">
        <v>60</v>
      </c>
      <c r="B120">
        <v>-52.65142771</v>
      </c>
      <c r="C120">
        <v>-17.73233424</v>
      </c>
      <c r="D120" t="s">
        <v>246</v>
      </c>
      <c r="E120" s="3">
        <v>46203</v>
      </c>
      <c r="F120" t="s">
        <v>62</v>
      </c>
      <c r="G120" t="s">
        <v>63</v>
      </c>
      <c r="H120">
        <v>0</v>
      </c>
      <c r="I120" t="s">
        <v>64</v>
      </c>
      <c r="J120">
        <v>1</v>
      </c>
      <c r="K120">
        <v>2</v>
      </c>
      <c r="L120">
        <v>0</v>
      </c>
      <c r="M120" t="s">
        <v>65</v>
      </c>
      <c r="O120">
        <v>440346</v>
      </c>
      <c r="P120">
        <v>1</v>
      </c>
      <c r="Q120">
        <v>1001</v>
      </c>
      <c r="T120">
        <v>286</v>
      </c>
      <c r="V120" t="s">
        <v>66</v>
      </c>
      <c r="W120" t="s">
        <v>67</v>
      </c>
      <c r="X120" t="s">
        <v>247</v>
      </c>
      <c r="Y120">
        <v>119</v>
      </c>
      <c r="AC120" t="s">
        <v>69</v>
      </c>
      <c r="AE120" t="s">
        <v>69</v>
      </c>
      <c r="AF120" t="s">
        <v>69</v>
      </c>
      <c r="AH120" t="s">
        <v>69</v>
      </c>
      <c r="AI120" t="s">
        <v>69</v>
      </c>
      <c r="AM120">
        <v>1.44</v>
      </c>
      <c r="AN120" s="2">
        <v>-2.5384163497511034</v>
      </c>
      <c r="AR120">
        <v>3.71</v>
      </c>
      <c r="AS120">
        <v>0.59</v>
      </c>
      <c r="AT120">
        <v>0.40999999999999986</v>
      </c>
      <c r="AU120">
        <v>0.42000000000000004</v>
      </c>
      <c r="BB120">
        <v>25.238316405102239</v>
      </c>
      <c r="BC120" s="2">
        <v>9.5525479536431099</v>
      </c>
      <c r="BD120" s="2">
        <f t="shared" si="1"/>
        <v>9.5525479536431099</v>
      </c>
      <c r="BF120">
        <v>4.07</v>
      </c>
      <c r="BG120">
        <v>6.6</v>
      </c>
      <c r="BH120" s="2">
        <v>22.432390041170024</v>
      </c>
    </row>
    <row r="121" spans="1:60" x14ac:dyDescent="0.25">
      <c r="A121">
        <v>60</v>
      </c>
      <c r="B121">
        <v>-52.65142771</v>
      </c>
      <c r="C121">
        <v>-17.73233424</v>
      </c>
      <c r="D121" t="s">
        <v>246</v>
      </c>
      <c r="E121" s="3">
        <v>46203</v>
      </c>
      <c r="F121" t="s">
        <v>62</v>
      </c>
      <c r="G121" t="s">
        <v>63</v>
      </c>
      <c r="H121">
        <v>0</v>
      </c>
      <c r="I121" t="s">
        <v>64</v>
      </c>
      <c r="J121">
        <v>1</v>
      </c>
      <c r="K121">
        <v>2</v>
      </c>
      <c r="L121">
        <v>0</v>
      </c>
      <c r="M121" t="s">
        <v>65</v>
      </c>
      <c r="O121">
        <v>440346</v>
      </c>
      <c r="P121">
        <v>1</v>
      </c>
      <c r="Q121">
        <v>1001</v>
      </c>
      <c r="T121">
        <v>286</v>
      </c>
      <c r="V121" t="s">
        <v>70</v>
      </c>
      <c r="W121" t="s">
        <v>67</v>
      </c>
      <c r="X121" t="s">
        <v>248</v>
      </c>
      <c r="Y121">
        <v>120</v>
      </c>
      <c r="AC121" t="s">
        <v>69</v>
      </c>
      <c r="AF121" t="s">
        <v>69</v>
      </c>
      <c r="AH121" t="s">
        <v>69</v>
      </c>
      <c r="AI121" t="s">
        <v>69</v>
      </c>
      <c r="AM121">
        <v>1.23</v>
      </c>
      <c r="AN121" s="2">
        <v>-2.8711003926661078</v>
      </c>
      <c r="AR121">
        <v>3.6399999999999997</v>
      </c>
      <c r="AS121">
        <v>0.43999999999999995</v>
      </c>
      <c r="AT121">
        <v>0.36</v>
      </c>
      <c r="AU121">
        <v>0.32999999999999985</v>
      </c>
      <c r="BB121">
        <v>22.41985955941087</v>
      </c>
      <c r="BD121" s="2">
        <f t="shared" si="1"/>
        <v>12.41985955941087</v>
      </c>
      <c r="BF121">
        <v>4.03</v>
      </c>
      <c r="BG121">
        <v>6.61</v>
      </c>
      <c r="BH121" s="2">
        <v>22.197260900679254</v>
      </c>
    </row>
    <row r="122" spans="1:60" x14ac:dyDescent="0.25">
      <c r="A122">
        <v>61</v>
      </c>
      <c r="B122">
        <v>-52.65700932</v>
      </c>
      <c r="C122">
        <v>-17.732847240000002</v>
      </c>
      <c r="D122" t="s">
        <v>249</v>
      </c>
      <c r="E122" s="3">
        <v>46203</v>
      </c>
      <c r="F122" t="s">
        <v>62</v>
      </c>
      <c r="G122" t="s">
        <v>63</v>
      </c>
      <c r="H122">
        <v>0</v>
      </c>
      <c r="I122" t="s">
        <v>64</v>
      </c>
      <c r="J122">
        <v>1</v>
      </c>
      <c r="K122">
        <v>2</v>
      </c>
      <c r="L122">
        <v>0</v>
      </c>
      <c r="M122" t="s">
        <v>65</v>
      </c>
      <c r="O122">
        <v>440346</v>
      </c>
      <c r="P122">
        <v>1</v>
      </c>
      <c r="Q122">
        <v>1001</v>
      </c>
      <c r="T122">
        <v>287</v>
      </c>
      <c r="V122" t="s">
        <v>66</v>
      </c>
      <c r="W122" t="s">
        <v>67</v>
      </c>
      <c r="X122" t="s">
        <v>250</v>
      </c>
      <c r="Y122">
        <v>121</v>
      </c>
      <c r="AC122" t="s">
        <v>69</v>
      </c>
      <c r="AF122" t="s">
        <v>69</v>
      </c>
      <c r="AH122" t="s">
        <v>69</v>
      </c>
      <c r="AI122" t="s">
        <v>69</v>
      </c>
      <c r="AM122">
        <v>1.29</v>
      </c>
      <c r="AN122" s="2">
        <v>-2.2057323068360986</v>
      </c>
      <c r="AR122">
        <v>4.09</v>
      </c>
      <c r="AS122">
        <v>0.86999999999999988</v>
      </c>
      <c r="AT122">
        <v>0.52</v>
      </c>
      <c r="AU122">
        <v>0.42999999999999994</v>
      </c>
      <c r="BB122">
        <v>29.933811613936001</v>
      </c>
      <c r="BD122" s="2">
        <f t="shared" si="1"/>
        <v>19.933811613936001</v>
      </c>
      <c r="BF122">
        <v>4.16</v>
      </c>
      <c r="BG122">
        <v>6.32</v>
      </c>
      <c r="BH122" s="2">
        <v>30.13061903538782</v>
      </c>
    </row>
    <row r="123" spans="1:60" x14ac:dyDescent="0.25">
      <c r="A123">
        <v>61</v>
      </c>
      <c r="B123">
        <v>-52.65700932</v>
      </c>
      <c r="C123">
        <v>-17.732847240000002</v>
      </c>
      <c r="D123" t="s">
        <v>249</v>
      </c>
      <c r="E123" s="3">
        <v>46203</v>
      </c>
      <c r="F123" t="s">
        <v>62</v>
      </c>
      <c r="G123" t="s">
        <v>63</v>
      </c>
      <c r="H123">
        <v>0</v>
      </c>
      <c r="I123" t="s">
        <v>64</v>
      </c>
      <c r="J123">
        <v>1</v>
      </c>
      <c r="K123">
        <v>2</v>
      </c>
      <c r="L123">
        <v>0</v>
      </c>
      <c r="M123" t="s">
        <v>65</v>
      </c>
      <c r="O123">
        <v>440346</v>
      </c>
      <c r="P123">
        <v>1</v>
      </c>
      <c r="Q123">
        <v>1001</v>
      </c>
      <c r="T123">
        <v>287</v>
      </c>
      <c r="V123" t="s">
        <v>70</v>
      </c>
      <c r="W123" t="s">
        <v>67</v>
      </c>
      <c r="X123" t="s">
        <v>251</v>
      </c>
      <c r="Y123">
        <v>122</v>
      </c>
      <c r="AC123" t="s">
        <v>69</v>
      </c>
      <c r="AF123" t="s">
        <v>69</v>
      </c>
      <c r="AH123" t="s">
        <v>69</v>
      </c>
      <c r="AI123" t="s">
        <v>69</v>
      </c>
      <c r="AM123">
        <v>1.22</v>
      </c>
      <c r="AN123" s="2">
        <v>-2.3720743282936008</v>
      </c>
      <c r="AR123">
        <v>3.81</v>
      </c>
      <c r="AS123">
        <v>0.89999999999999991</v>
      </c>
      <c r="AT123">
        <v>0.42000000000000004</v>
      </c>
      <c r="AU123">
        <v>0.44999999999999996</v>
      </c>
      <c r="BB123">
        <v>24.88395655249241</v>
      </c>
      <c r="BD123" s="2">
        <f t="shared" si="1"/>
        <v>14.88395655249241</v>
      </c>
      <c r="BF123">
        <v>4.1500000000000004</v>
      </c>
      <c r="BG123">
        <v>6.45</v>
      </c>
      <c r="BH123" s="2">
        <v>26.273501885581055</v>
      </c>
    </row>
    <row r="124" spans="1:60" x14ac:dyDescent="0.25">
      <c r="A124">
        <v>62</v>
      </c>
      <c r="B124">
        <v>-52.658465999999997</v>
      </c>
      <c r="C124">
        <v>-17.7374531</v>
      </c>
      <c r="D124" t="s">
        <v>252</v>
      </c>
      <c r="E124" s="3">
        <v>46203</v>
      </c>
      <c r="F124" t="s">
        <v>62</v>
      </c>
      <c r="G124" t="s">
        <v>63</v>
      </c>
      <c r="H124">
        <v>0</v>
      </c>
      <c r="I124" t="s">
        <v>64</v>
      </c>
      <c r="J124">
        <v>1</v>
      </c>
      <c r="K124">
        <v>2</v>
      </c>
      <c r="L124">
        <v>0</v>
      </c>
      <c r="M124" t="s">
        <v>65</v>
      </c>
      <c r="O124">
        <v>440346</v>
      </c>
      <c r="P124">
        <v>1</v>
      </c>
      <c r="Q124">
        <v>1001</v>
      </c>
      <c r="T124">
        <v>288</v>
      </c>
      <c r="V124" t="s">
        <v>66</v>
      </c>
      <c r="W124" t="s">
        <v>67</v>
      </c>
      <c r="X124" t="s">
        <v>253</v>
      </c>
      <c r="Y124">
        <v>123</v>
      </c>
      <c r="AC124" t="s">
        <v>69</v>
      </c>
      <c r="AE124" t="s">
        <v>69</v>
      </c>
      <c r="AF124" t="s">
        <v>69</v>
      </c>
      <c r="AH124" t="s">
        <v>69</v>
      </c>
      <c r="AI124" t="s">
        <v>69</v>
      </c>
      <c r="AM124">
        <v>1.21</v>
      </c>
      <c r="AN124" s="2">
        <v>-2.7047583712086052</v>
      </c>
      <c r="AR124">
        <v>0.42000000000000004</v>
      </c>
      <c r="AS124">
        <v>6.34</v>
      </c>
      <c r="AT124">
        <v>0.45999999999999996</v>
      </c>
      <c r="AU124">
        <v>3.8600000000000003</v>
      </c>
      <c r="BB124">
        <v>25.182452831464531</v>
      </c>
      <c r="BC124" s="2">
        <v>9.0093761427352703</v>
      </c>
      <c r="BD124" s="2">
        <f t="shared" si="1"/>
        <v>9.0093761427352703</v>
      </c>
      <c r="BF124">
        <v>4.87</v>
      </c>
      <c r="BG124">
        <v>6.86</v>
      </c>
      <c r="BH124" s="2">
        <v>17.056713815874541</v>
      </c>
    </row>
    <row r="125" spans="1:60" x14ac:dyDescent="0.25">
      <c r="A125">
        <v>62</v>
      </c>
      <c r="B125">
        <v>-52.658465999999997</v>
      </c>
      <c r="C125">
        <v>-17.7374531</v>
      </c>
      <c r="D125" t="s">
        <v>252</v>
      </c>
      <c r="E125" s="3">
        <v>46203</v>
      </c>
      <c r="F125" t="s">
        <v>62</v>
      </c>
      <c r="G125" t="s">
        <v>63</v>
      </c>
      <c r="H125">
        <v>0</v>
      </c>
      <c r="I125" t="s">
        <v>64</v>
      </c>
      <c r="J125">
        <v>1</v>
      </c>
      <c r="K125">
        <v>2</v>
      </c>
      <c r="L125">
        <v>0</v>
      </c>
      <c r="M125" t="s">
        <v>65</v>
      </c>
      <c r="O125">
        <v>440346</v>
      </c>
      <c r="P125">
        <v>1</v>
      </c>
      <c r="Q125">
        <v>1001</v>
      </c>
      <c r="T125">
        <v>288</v>
      </c>
      <c r="V125" t="s">
        <v>70</v>
      </c>
      <c r="W125" t="s">
        <v>67</v>
      </c>
      <c r="X125" t="s">
        <v>254</v>
      </c>
      <c r="Y125">
        <v>124</v>
      </c>
      <c r="AC125" t="s">
        <v>69</v>
      </c>
      <c r="AF125" t="s">
        <v>69</v>
      </c>
      <c r="AH125" t="s">
        <v>69</v>
      </c>
      <c r="AI125" t="s">
        <v>69</v>
      </c>
      <c r="AM125">
        <v>1.32</v>
      </c>
      <c r="AN125" s="2">
        <v>-1.5403642210060891</v>
      </c>
      <c r="AR125">
        <v>0.51</v>
      </c>
      <c r="AS125">
        <v>5.6999999999999993</v>
      </c>
      <c r="AT125">
        <v>0.34</v>
      </c>
      <c r="AU125">
        <v>3.3600000000000003</v>
      </c>
      <c r="BB125">
        <v>25.16681336309907</v>
      </c>
      <c r="BD125" s="2">
        <f t="shared" si="1"/>
        <v>15.16681336309907</v>
      </c>
      <c r="BF125">
        <v>4.83</v>
      </c>
      <c r="BG125">
        <v>6.82</v>
      </c>
      <c r="BH125" s="2">
        <v>17.790985535229375</v>
      </c>
    </row>
    <row r="126" spans="1:60" x14ac:dyDescent="0.25">
      <c r="A126">
        <v>63</v>
      </c>
      <c r="B126">
        <v>-52.656494639999998</v>
      </c>
      <c r="C126">
        <v>-17.740722439999999</v>
      </c>
      <c r="D126" t="s">
        <v>255</v>
      </c>
      <c r="E126" s="3">
        <v>46203</v>
      </c>
      <c r="F126" t="s">
        <v>62</v>
      </c>
      <c r="G126" t="s">
        <v>63</v>
      </c>
      <c r="H126">
        <v>0</v>
      </c>
      <c r="I126" t="s">
        <v>64</v>
      </c>
      <c r="J126">
        <v>1</v>
      </c>
      <c r="K126">
        <v>2</v>
      </c>
      <c r="L126">
        <v>0</v>
      </c>
      <c r="M126" t="s">
        <v>65</v>
      </c>
      <c r="O126">
        <v>440346</v>
      </c>
      <c r="P126">
        <v>1</v>
      </c>
      <c r="Q126">
        <v>1001</v>
      </c>
      <c r="T126">
        <v>289</v>
      </c>
      <c r="V126" t="s">
        <v>66</v>
      </c>
      <c r="W126" t="s">
        <v>67</v>
      </c>
      <c r="X126" t="s">
        <v>256</v>
      </c>
      <c r="Y126">
        <v>125</v>
      </c>
      <c r="AC126" t="s">
        <v>69</v>
      </c>
      <c r="AF126" t="s">
        <v>69</v>
      </c>
      <c r="AH126" t="s">
        <v>69</v>
      </c>
      <c r="AI126" t="s">
        <v>69</v>
      </c>
      <c r="AM126">
        <v>1.35</v>
      </c>
      <c r="AN126" s="2">
        <v>-2.5384163497511034</v>
      </c>
      <c r="AR126">
        <v>1.04</v>
      </c>
      <c r="AS126">
        <v>3.62</v>
      </c>
      <c r="AT126">
        <v>0.42999999999999994</v>
      </c>
      <c r="AU126">
        <v>2.2200000000000002</v>
      </c>
      <c r="BB126">
        <v>25.95231726836283</v>
      </c>
      <c r="BD126" s="2">
        <f t="shared" si="1"/>
        <v>15.95231726836283</v>
      </c>
      <c r="BF126">
        <v>4.6399999999999997</v>
      </c>
      <c r="BG126">
        <v>6.77</v>
      </c>
      <c r="BH126" s="2">
        <v>18.753434301927946</v>
      </c>
    </row>
    <row r="127" spans="1:60" x14ac:dyDescent="0.25">
      <c r="A127">
        <v>63</v>
      </c>
      <c r="B127">
        <v>-52.656494639999998</v>
      </c>
      <c r="C127">
        <v>-17.740722439999999</v>
      </c>
      <c r="D127" t="s">
        <v>255</v>
      </c>
      <c r="E127" s="3">
        <v>46203</v>
      </c>
      <c r="F127" t="s">
        <v>62</v>
      </c>
      <c r="G127" t="s">
        <v>63</v>
      </c>
      <c r="H127">
        <v>0</v>
      </c>
      <c r="I127" t="s">
        <v>64</v>
      </c>
      <c r="J127">
        <v>1</v>
      </c>
      <c r="K127">
        <v>2</v>
      </c>
      <c r="L127">
        <v>0</v>
      </c>
      <c r="M127" t="s">
        <v>65</v>
      </c>
      <c r="O127">
        <v>440346</v>
      </c>
      <c r="P127">
        <v>1</v>
      </c>
      <c r="Q127">
        <v>1001</v>
      </c>
      <c r="T127">
        <v>289</v>
      </c>
      <c r="V127" t="s">
        <v>70</v>
      </c>
      <c r="W127" t="s">
        <v>67</v>
      </c>
      <c r="X127" t="s">
        <v>257</v>
      </c>
      <c r="Y127">
        <v>126</v>
      </c>
      <c r="AC127" t="s">
        <v>69</v>
      </c>
      <c r="AF127" t="s">
        <v>69</v>
      </c>
      <c r="AH127" t="s">
        <v>69</v>
      </c>
      <c r="AI127" t="s">
        <v>69</v>
      </c>
      <c r="AM127">
        <v>1.6</v>
      </c>
      <c r="AN127" s="2">
        <v>-1.8730482639210939</v>
      </c>
      <c r="AR127">
        <v>1.02</v>
      </c>
      <c r="AS127">
        <v>3.57</v>
      </c>
      <c r="AT127">
        <v>0.42000000000000004</v>
      </c>
      <c r="AU127">
        <v>1.7199999999999998</v>
      </c>
      <c r="BB127">
        <v>22.012086012194491</v>
      </c>
      <c r="BD127" s="2">
        <f t="shared" si="1"/>
        <v>12.012086012194491</v>
      </c>
      <c r="BF127">
        <v>4.59</v>
      </c>
      <c r="BG127">
        <v>6.85</v>
      </c>
      <c r="BH127" s="2">
        <v>17.237390633481372</v>
      </c>
    </row>
    <row r="128" spans="1:60" x14ac:dyDescent="0.25">
      <c r="A128">
        <v>64</v>
      </c>
      <c r="B128">
        <v>-52.656365790000002</v>
      </c>
      <c r="C128">
        <v>-17.749252779999999</v>
      </c>
      <c r="D128" t="s">
        <v>258</v>
      </c>
      <c r="E128" s="3">
        <v>46203</v>
      </c>
      <c r="F128" t="s">
        <v>62</v>
      </c>
      <c r="G128" t="s">
        <v>63</v>
      </c>
      <c r="H128">
        <v>0</v>
      </c>
      <c r="I128" t="s">
        <v>64</v>
      </c>
      <c r="J128">
        <v>1</v>
      </c>
      <c r="K128">
        <v>2</v>
      </c>
      <c r="L128">
        <v>0</v>
      </c>
      <c r="M128" t="s">
        <v>65</v>
      </c>
      <c r="O128">
        <v>440346</v>
      </c>
      <c r="P128">
        <v>1</v>
      </c>
      <c r="Q128">
        <v>1001</v>
      </c>
      <c r="T128">
        <v>291</v>
      </c>
      <c r="V128" t="s">
        <v>66</v>
      </c>
      <c r="W128" t="s">
        <v>67</v>
      </c>
      <c r="X128" t="s">
        <v>259</v>
      </c>
      <c r="Y128">
        <v>127</v>
      </c>
      <c r="AC128" t="s">
        <v>69</v>
      </c>
      <c r="AE128" t="s">
        <v>69</v>
      </c>
      <c r="AF128" t="s">
        <v>69</v>
      </c>
      <c r="AH128" t="s">
        <v>69</v>
      </c>
      <c r="AI128" t="s">
        <v>69</v>
      </c>
      <c r="AM128">
        <v>1.73</v>
      </c>
      <c r="AN128" s="2">
        <v>-2.7047583712086052</v>
      </c>
      <c r="AR128">
        <v>2.2400000000000002</v>
      </c>
      <c r="AS128">
        <v>0.16</v>
      </c>
      <c r="AT128">
        <v>0.24</v>
      </c>
      <c r="AU128">
        <v>0.17</v>
      </c>
      <c r="BB128">
        <v>21.379573728984269</v>
      </c>
      <c r="BC128" s="2">
        <v>7.1988034397091303</v>
      </c>
      <c r="BD128" s="2">
        <f t="shared" si="1"/>
        <v>7.1988034397091303</v>
      </c>
      <c r="BF128">
        <v>4.1500000000000004</v>
      </c>
      <c r="BG128">
        <v>6.89</v>
      </c>
      <c r="BH128" s="2">
        <v>16.525966950258528</v>
      </c>
    </row>
    <row r="129" spans="1:60" x14ac:dyDescent="0.25">
      <c r="A129">
        <v>64</v>
      </c>
      <c r="B129">
        <v>-52.656365790000002</v>
      </c>
      <c r="C129">
        <v>-17.749252779999999</v>
      </c>
      <c r="D129" t="s">
        <v>258</v>
      </c>
      <c r="E129" s="3">
        <v>46203</v>
      </c>
      <c r="F129" t="s">
        <v>62</v>
      </c>
      <c r="G129" t="s">
        <v>63</v>
      </c>
      <c r="H129">
        <v>0</v>
      </c>
      <c r="I129" t="s">
        <v>64</v>
      </c>
      <c r="J129">
        <v>1</v>
      </c>
      <c r="K129">
        <v>2</v>
      </c>
      <c r="L129">
        <v>0</v>
      </c>
      <c r="M129" t="s">
        <v>65</v>
      </c>
      <c r="O129">
        <v>440346</v>
      </c>
      <c r="P129">
        <v>1</v>
      </c>
      <c r="Q129">
        <v>1001</v>
      </c>
      <c r="T129">
        <v>291</v>
      </c>
      <c r="V129" t="s">
        <v>70</v>
      </c>
      <c r="W129" t="s">
        <v>67</v>
      </c>
      <c r="X129" t="s">
        <v>260</v>
      </c>
      <c r="Y129">
        <v>128</v>
      </c>
      <c r="AC129" t="s">
        <v>69</v>
      </c>
      <c r="AF129" t="s">
        <v>69</v>
      </c>
      <c r="AH129" t="s">
        <v>69</v>
      </c>
      <c r="AI129" t="s">
        <v>69</v>
      </c>
      <c r="AM129">
        <v>1.72</v>
      </c>
      <c r="AN129" s="2">
        <v>-2.7047583712086052</v>
      </c>
      <c r="AR129">
        <v>2.92</v>
      </c>
      <c r="AS129">
        <v>6.9999999999999993E-2</v>
      </c>
      <c r="AT129">
        <v>0.16</v>
      </c>
      <c r="AU129">
        <v>0.06</v>
      </c>
      <c r="BB129">
        <v>21.431263901940071</v>
      </c>
      <c r="BD129" s="2">
        <f t="shared" si="1"/>
        <v>11.431263901940071</v>
      </c>
      <c r="BF129">
        <v>4.0999999999999996</v>
      </c>
      <c r="BG129">
        <v>6.81</v>
      </c>
      <c r="BH129" s="2">
        <v>17.979440279988168</v>
      </c>
    </row>
    <row r="130" spans="1:60" x14ac:dyDescent="0.25">
      <c r="A130">
        <v>65</v>
      </c>
      <c r="B130">
        <v>-52.659768339999999</v>
      </c>
      <c r="C130">
        <v>-17.7559284599999</v>
      </c>
      <c r="D130" t="s">
        <v>261</v>
      </c>
      <c r="E130" s="3">
        <v>46203</v>
      </c>
      <c r="F130" t="s">
        <v>62</v>
      </c>
      <c r="G130" t="s">
        <v>63</v>
      </c>
      <c r="H130">
        <v>0</v>
      </c>
      <c r="I130" t="s">
        <v>64</v>
      </c>
      <c r="J130">
        <v>1</v>
      </c>
      <c r="K130">
        <v>2</v>
      </c>
      <c r="L130">
        <v>0</v>
      </c>
      <c r="M130" t="s">
        <v>65</v>
      </c>
      <c r="O130">
        <v>440346</v>
      </c>
      <c r="P130">
        <v>1</v>
      </c>
      <c r="Q130">
        <v>1001</v>
      </c>
      <c r="T130">
        <v>292</v>
      </c>
      <c r="V130" t="s">
        <v>66</v>
      </c>
      <c r="W130" t="s">
        <v>67</v>
      </c>
      <c r="X130" t="s">
        <v>262</v>
      </c>
      <c r="Y130">
        <v>129</v>
      </c>
      <c r="AC130" t="s">
        <v>69</v>
      </c>
      <c r="AF130" t="s">
        <v>69</v>
      </c>
      <c r="AH130" t="s">
        <v>69</v>
      </c>
      <c r="AI130" t="s">
        <v>69</v>
      </c>
      <c r="AM130">
        <v>2.09</v>
      </c>
      <c r="AN130" s="2">
        <v>-1.8730482639210939</v>
      </c>
      <c r="AR130">
        <v>2.46</v>
      </c>
      <c r="AS130">
        <v>0.92999999999999994</v>
      </c>
      <c r="AT130">
        <v>0.42000000000000004</v>
      </c>
      <c r="AU130">
        <v>0.68</v>
      </c>
      <c r="BB130">
        <v>24.239340544173071</v>
      </c>
      <c r="BD130" s="2">
        <f t="shared" si="1"/>
        <v>14.239340544173071</v>
      </c>
      <c r="BF130">
        <v>4.1100000000000003</v>
      </c>
      <c r="BG130">
        <v>6.78</v>
      </c>
      <c r="BH130" s="2">
        <v>18.556866799286926</v>
      </c>
    </row>
    <row r="131" spans="1:60" x14ac:dyDescent="0.25">
      <c r="A131">
        <v>65</v>
      </c>
      <c r="B131">
        <v>-52.659768339999999</v>
      </c>
      <c r="C131">
        <v>-17.7559284599999</v>
      </c>
      <c r="D131" t="s">
        <v>261</v>
      </c>
      <c r="E131" s="3">
        <v>46203</v>
      </c>
      <c r="F131" t="s">
        <v>62</v>
      </c>
      <c r="G131" t="s">
        <v>63</v>
      </c>
      <c r="H131">
        <v>0</v>
      </c>
      <c r="I131" t="s">
        <v>64</v>
      </c>
      <c r="J131">
        <v>1</v>
      </c>
      <c r="K131">
        <v>2</v>
      </c>
      <c r="L131">
        <v>0</v>
      </c>
      <c r="M131" t="s">
        <v>65</v>
      </c>
      <c r="O131">
        <v>440346</v>
      </c>
      <c r="P131">
        <v>1</v>
      </c>
      <c r="Q131">
        <v>1001</v>
      </c>
      <c r="T131">
        <v>292</v>
      </c>
      <c r="V131" t="s">
        <v>70</v>
      </c>
      <c r="W131" t="s">
        <v>67</v>
      </c>
      <c r="X131" t="s">
        <v>263</v>
      </c>
      <c r="Y131">
        <v>130</v>
      </c>
      <c r="AC131" t="s">
        <v>69</v>
      </c>
      <c r="AF131" t="s">
        <v>69</v>
      </c>
      <c r="AH131" t="s">
        <v>69</v>
      </c>
      <c r="AI131" t="s">
        <v>69</v>
      </c>
      <c r="AM131">
        <v>1.28</v>
      </c>
      <c r="AN131" s="2">
        <v>-2.7047583712086052</v>
      </c>
      <c r="AR131">
        <v>2.9499999999999997</v>
      </c>
      <c r="AS131">
        <v>0.42000000000000004</v>
      </c>
      <c r="AT131">
        <v>0.36</v>
      </c>
      <c r="AU131">
        <v>0.32999999999999985</v>
      </c>
      <c r="BB131">
        <v>22.476491850964241</v>
      </c>
      <c r="BD131" s="2">
        <f t="shared" ref="BD131:BD171" si="2">IF(BC131&lt;&gt;0,BC131,BB131-10)</f>
        <v>12.476491850964241</v>
      </c>
      <c r="BF131">
        <v>4.08</v>
      </c>
      <c r="BG131">
        <v>6.78</v>
      </c>
      <c r="BH131" s="2">
        <v>18.556866799286926</v>
      </c>
    </row>
    <row r="132" spans="1:60" x14ac:dyDescent="0.25">
      <c r="A132">
        <v>66</v>
      </c>
      <c r="B132">
        <v>-52.654187749999998</v>
      </c>
      <c r="C132">
        <v>-17.75762821</v>
      </c>
      <c r="D132" t="s">
        <v>264</v>
      </c>
      <c r="E132" s="3">
        <v>46203</v>
      </c>
      <c r="F132" t="s">
        <v>62</v>
      </c>
      <c r="G132" t="s">
        <v>63</v>
      </c>
      <c r="H132">
        <v>0</v>
      </c>
      <c r="I132" t="s">
        <v>64</v>
      </c>
      <c r="J132">
        <v>1</v>
      </c>
      <c r="K132">
        <v>2</v>
      </c>
      <c r="L132">
        <v>0</v>
      </c>
      <c r="M132" t="s">
        <v>65</v>
      </c>
      <c r="O132">
        <v>440346</v>
      </c>
      <c r="P132">
        <v>1</v>
      </c>
      <c r="Q132">
        <v>1001</v>
      </c>
      <c r="T132">
        <v>293</v>
      </c>
      <c r="V132" t="s">
        <v>66</v>
      </c>
      <c r="W132" t="s">
        <v>67</v>
      </c>
      <c r="X132" t="s">
        <v>265</v>
      </c>
      <c r="Y132">
        <v>131</v>
      </c>
      <c r="AC132" t="s">
        <v>69</v>
      </c>
      <c r="AE132" t="s">
        <v>69</v>
      </c>
      <c r="AF132" t="s">
        <v>69</v>
      </c>
      <c r="AH132" t="s">
        <v>69</v>
      </c>
      <c r="AI132" t="s">
        <v>69</v>
      </c>
      <c r="AM132">
        <v>1.660000000000001</v>
      </c>
      <c r="AN132" s="2">
        <v>-2.0393902853785959</v>
      </c>
      <c r="AR132">
        <v>3.77</v>
      </c>
      <c r="AS132">
        <v>0.10999999999999999</v>
      </c>
      <c r="AT132">
        <v>0.24</v>
      </c>
      <c r="AU132">
        <v>7.9999999999999988E-2</v>
      </c>
      <c r="BB132">
        <v>24.628606836189899</v>
      </c>
      <c r="BC132" s="2">
        <v>7.7419752506169699</v>
      </c>
      <c r="BD132" s="2">
        <f t="shared" si="2"/>
        <v>7.7419752506169699</v>
      </c>
      <c r="BF132">
        <v>4.07</v>
      </c>
      <c r="BG132">
        <v>6.72</v>
      </c>
      <c r="BH132" s="2">
        <v>19.767949190915541</v>
      </c>
    </row>
    <row r="133" spans="1:60" x14ac:dyDescent="0.25">
      <c r="A133">
        <v>66</v>
      </c>
      <c r="B133">
        <v>-52.654187749999998</v>
      </c>
      <c r="C133">
        <v>-17.75762821</v>
      </c>
      <c r="D133" t="s">
        <v>264</v>
      </c>
      <c r="E133" s="3">
        <v>46203</v>
      </c>
      <c r="F133" t="s">
        <v>62</v>
      </c>
      <c r="G133" t="s">
        <v>63</v>
      </c>
      <c r="H133">
        <v>0</v>
      </c>
      <c r="I133" t="s">
        <v>64</v>
      </c>
      <c r="J133">
        <v>1</v>
      </c>
      <c r="K133">
        <v>2</v>
      </c>
      <c r="L133">
        <v>0</v>
      </c>
      <c r="M133" t="s">
        <v>65</v>
      </c>
      <c r="O133">
        <v>440346</v>
      </c>
      <c r="P133">
        <v>1</v>
      </c>
      <c r="Q133">
        <v>1001</v>
      </c>
      <c r="T133">
        <v>293</v>
      </c>
      <c r="V133" t="s">
        <v>70</v>
      </c>
      <c r="W133" t="s">
        <v>67</v>
      </c>
      <c r="X133" t="s">
        <v>266</v>
      </c>
      <c r="Y133">
        <v>132</v>
      </c>
      <c r="AC133" t="s">
        <v>69</v>
      </c>
      <c r="AF133" t="s">
        <v>69</v>
      </c>
      <c r="AH133" t="s">
        <v>69</v>
      </c>
      <c r="AI133" t="s">
        <v>69</v>
      </c>
      <c r="AM133">
        <v>1.6</v>
      </c>
      <c r="AN133" s="2">
        <v>-5.5325727359861459</v>
      </c>
      <c r="AR133">
        <v>4.08</v>
      </c>
      <c r="AS133">
        <v>0.13</v>
      </c>
      <c r="AT133">
        <v>0.2</v>
      </c>
      <c r="AU133">
        <v>0.09</v>
      </c>
      <c r="BB133">
        <v>24.8348089551979</v>
      </c>
      <c r="BD133" s="2">
        <f t="shared" si="2"/>
        <v>14.8348089551979</v>
      </c>
      <c r="BF133">
        <v>4.05</v>
      </c>
      <c r="BG133">
        <v>6.73</v>
      </c>
      <c r="BH133" s="2">
        <v>19.560747867561467</v>
      </c>
    </row>
    <row r="134" spans="1:60" x14ac:dyDescent="0.25">
      <c r="A134">
        <v>67</v>
      </c>
      <c r="B134">
        <v>-52.649097840000003</v>
      </c>
      <c r="C134">
        <v>-17.757031770000001</v>
      </c>
      <c r="D134" t="s">
        <v>267</v>
      </c>
      <c r="E134" s="3">
        <v>46203</v>
      </c>
      <c r="F134" t="s">
        <v>62</v>
      </c>
      <c r="G134" t="s">
        <v>63</v>
      </c>
      <c r="H134">
        <v>0</v>
      </c>
      <c r="I134" t="s">
        <v>64</v>
      </c>
      <c r="J134">
        <v>1</v>
      </c>
      <c r="K134">
        <v>2</v>
      </c>
      <c r="L134">
        <v>0</v>
      </c>
      <c r="M134" t="s">
        <v>65</v>
      </c>
      <c r="O134">
        <v>440346</v>
      </c>
      <c r="P134">
        <v>1</v>
      </c>
      <c r="Q134">
        <v>1001</v>
      </c>
      <c r="T134">
        <v>294</v>
      </c>
      <c r="V134" t="s">
        <v>66</v>
      </c>
      <c r="W134" t="s">
        <v>67</v>
      </c>
      <c r="X134" t="s">
        <v>268</v>
      </c>
      <c r="Y134">
        <v>133</v>
      </c>
      <c r="AC134" t="s">
        <v>69</v>
      </c>
      <c r="AF134" t="s">
        <v>69</v>
      </c>
      <c r="AH134" t="s">
        <v>69</v>
      </c>
      <c r="AI134" t="s">
        <v>69</v>
      </c>
      <c r="AM134">
        <v>1.76</v>
      </c>
      <c r="AN134" s="2">
        <v>-2.3720743282936008</v>
      </c>
      <c r="AR134">
        <v>3.62</v>
      </c>
      <c r="AS134">
        <v>0.08</v>
      </c>
      <c r="AT134">
        <v>0.21999999999999997</v>
      </c>
      <c r="AU134">
        <v>7.9999999999999988E-2</v>
      </c>
      <c r="BB134">
        <v>22.99776138053744</v>
      </c>
      <c r="BD134" s="2">
        <f t="shared" si="2"/>
        <v>12.99776138053744</v>
      </c>
      <c r="BF134">
        <v>4.08</v>
      </c>
      <c r="BG134">
        <v>6.81</v>
      </c>
      <c r="BH134" s="2">
        <v>17.979440279988168</v>
      </c>
    </row>
    <row r="135" spans="1:60" x14ac:dyDescent="0.25">
      <c r="A135">
        <v>67</v>
      </c>
      <c r="B135">
        <v>-52.649097840000003</v>
      </c>
      <c r="C135">
        <v>-17.757031770000001</v>
      </c>
      <c r="D135" t="s">
        <v>267</v>
      </c>
      <c r="E135" s="3">
        <v>46203</v>
      </c>
      <c r="F135" t="s">
        <v>62</v>
      </c>
      <c r="G135" t="s">
        <v>63</v>
      </c>
      <c r="H135">
        <v>0</v>
      </c>
      <c r="I135" t="s">
        <v>64</v>
      </c>
      <c r="J135">
        <v>1</v>
      </c>
      <c r="K135">
        <v>2</v>
      </c>
      <c r="L135">
        <v>0</v>
      </c>
      <c r="M135" t="s">
        <v>65</v>
      </c>
      <c r="O135">
        <v>440346</v>
      </c>
      <c r="P135">
        <v>1</v>
      </c>
      <c r="Q135">
        <v>1001</v>
      </c>
      <c r="T135">
        <v>294</v>
      </c>
      <c r="V135" t="s">
        <v>70</v>
      </c>
      <c r="W135" t="s">
        <v>67</v>
      </c>
      <c r="X135" t="s">
        <v>269</v>
      </c>
      <c r="Y135">
        <v>134</v>
      </c>
      <c r="AC135" t="s">
        <v>69</v>
      </c>
      <c r="AF135" t="s">
        <v>69</v>
      </c>
      <c r="AH135" t="s">
        <v>69</v>
      </c>
      <c r="AI135" t="s">
        <v>69</v>
      </c>
      <c r="AM135">
        <v>1.54</v>
      </c>
      <c r="AN135" s="2">
        <v>-2.7047583712086052</v>
      </c>
      <c r="AR135">
        <v>3.55</v>
      </c>
      <c r="AS135">
        <v>5.9999999999999984E-2</v>
      </c>
      <c r="AT135">
        <v>0.18</v>
      </c>
      <c r="AU135">
        <v>7.0000000000000007E-2</v>
      </c>
      <c r="BB135">
        <v>25.456601543607551</v>
      </c>
      <c r="BD135" s="2">
        <f t="shared" si="2"/>
        <v>15.456601543607551</v>
      </c>
      <c r="BF135">
        <v>4.1100000000000003</v>
      </c>
      <c r="BG135">
        <v>6.8</v>
      </c>
      <c r="BH135" s="2">
        <v>18.169891271146678</v>
      </c>
    </row>
    <row r="136" spans="1:60" x14ac:dyDescent="0.25">
      <c r="A136">
        <v>68</v>
      </c>
      <c r="B136">
        <v>-52.650478100000001</v>
      </c>
      <c r="C136">
        <v>-17.753495390000001</v>
      </c>
      <c r="D136" t="s">
        <v>270</v>
      </c>
      <c r="E136" s="3">
        <v>46203</v>
      </c>
      <c r="F136" t="s">
        <v>62</v>
      </c>
      <c r="G136" t="s">
        <v>63</v>
      </c>
      <c r="H136">
        <v>0</v>
      </c>
      <c r="I136" t="s">
        <v>64</v>
      </c>
      <c r="J136">
        <v>1</v>
      </c>
      <c r="K136">
        <v>2</v>
      </c>
      <c r="L136">
        <v>0</v>
      </c>
      <c r="M136" t="s">
        <v>65</v>
      </c>
      <c r="O136">
        <v>440346</v>
      </c>
      <c r="P136">
        <v>1</v>
      </c>
      <c r="Q136">
        <v>1001</v>
      </c>
      <c r="T136">
        <v>295</v>
      </c>
      <c r="V136" t="s">
        <v>66</v>
      </c>
      <c r="W136" t="s">
        <v>67</v>
      </c>
      <c r="X136" t="s">
        <v>271</v>
      </c>
      <c r="Y136">
        <v>135</v>
      </c>
      <c r="AC136" t="s">
        <v>69</v>
      </c>
      <c r="AF136" t="s">
        <v>69</v>
      </c>
      <c r="AH136" t="s">
        <v>69</v>
      </c>
      <c r="AI136" t="s">
        <v>69</v>
      </c>
      <c r="AM136">
        <v>2.330000000000001</v>
      </c>
      <c r="AN136" s="2">
        <v>-2.7047583712086052</v>
      </c>
      <c r="AR136">
        <v>4.03</v>
      </c>
      <c r="AS136">
        <v>0.18</v>
      </c>
      <c r="AT136">
        <v>0.27</v>
      </c>
      <c r="AU136">
        <v>0.09</v>
      </c>
      <c r="BB136">
        <v>22.437609894207039</v>
      </c>
      <c r="BD136" s="2">
        <f t="shared" si="2"/>
        <v>12.437609894207039</v>
      </c>
      <c r="BF136">
        <v>3.99</v>
      </c>
      <c r="BG136">
        <v>6.67</v>
      </c>
      <c r="BH136" s="2">
        <v>20.837346851954731</v>
      </c>
    </row>
    <row r="137" spans="1:60" x14ac:dyDescent="0.25">
      <c r="A137">
        <v>68</v>
      </c>
      <c r="B137">
        <v>-52.650478100000001</v>
      </c>
      <c r="C137">
        <v>-17.753495390000001</v>
      </c>
      <c r="D137" t="s">
        <v>270</v>
      </c>
      <c r="E137" s="3">
        <v>46203</v>
      </c>
      <c r="F137" t="s">
        <v>62</v>
      </c>
      <c r="G137" t="s">
        <v>63</v>
      </c>
      <c r="H137">
        <v>0</v>
      </c>
      <c r="I137" t="s">
        <v>64</v>
      </c>
      <c r="J137">
        <v>1</v>
      </c>
      <c r="K137">
        <v>2</v>
      </c>
      <c r="L137">
        <v>0</v>
      </c>
      <c r="M137" t="s">
        <v>65</v>
      </c>
      <c r="O137">
        <v>440346</v>
      </c>
      <c r="P137">
        <v>1</v>
      </c>
      <c r="Q137">
        <v>1001</v>
      </c>
      <c r="T137">
        <v>295</v>
      </c>
      <c r="V137" t="s">
        <v>70</v>
      </c>
      <c r="W137" t="s">
        <v>67</v>
      </c>
      <c r="X137" t="s">
        <v>272</v>
      </c>
      <c r="Y137">
        <v>136</v>
      </c>
      <c r="AC137" t="s">
        <v>69</v>
      </c>
      <c r="AF137" t="s">
        <v>69</v>
      </c>
      <c r="AH137" t="s">
        <v>69</v>
      </c>
      <c r="AI137" t="s">
        <v>69</v>
      </c>
      <c r="AM137">
        <v>1.9</v>
      </c>
      <c r="AN137" s="2">
        <v>-2.7047583712086052</v>
      </c>
      <c r="AR137">
        <v>3.75</v>
      </c>
      <c r="AS137">
        <v>6.9999999999999993E-2</v>
      </c>
      <c r="AT137">
        <v>0.18</v>
      </c>
      <c r="AU137">
        <v>7.0000000000000007E-2</v>
      </c>
      <c r="BB137">
        <v>20.92534122646299</v>
      </c>
      <c r="BD137" s="2">
        <f t="shared" si="2"/>
        <v>10.92534122646299</v>
      </c>
      <c r="BF137">
        <v>4</v>
      </c>
      <c r="BG137">
        <v>6.68</v>
      </c>
      <c r="BH137" s="2">
        <v>20.618936444217731</v>
      </c>
    </row>
    <row r="138" spans="1:60" x14ac:dyDescent="0.25">
      <c r="A138">
        <v>69</v>
      </c>
      <c r="B138">
        <v>-52.648250820000001</v>
      </c>
      <c r="C138">
        <v>-17.749573640000001</v>
      </c>
      <c r="D138" t="s">
        <v>273</v>
      </c>
      <c r="E138" s="3">
        <v>46203</v>
      </c>
      <c r="F138" t="s">
        <v>62</v>
      </c>
      <c r="G138" t="s">
        <v>63</v>
      </c>
      <c r="H138">
        <v>0</v>
      </c>
      <c r="I138" t="s">
        <v>64</v>
      </c>
      <c r="J138">
        <v>1</v>
      </c>
      <c r="K138">
        <v>2</v>
      </c>
      <c r="L138">
        <v>0</v>
      </c>
      <c r="M138" t="s">
        <v>65</v>
      </c>
      <c r="O138">
        <v>440346</v>
      </c>
      <c r="P138">
        <v>1</v>
      </c>
      <c r="Q138">
        <v>1001</v>
      </c>
      <c r="T138">
        <v>296</v>
      </c>
      <c r="V138" t="s">
        <v>66</v>
      </c>
      <c r="W138" t="s">
        <v>67</v>
      </c>
      <c r="X138" t="s">
        <v>274</v>
      </c>
      <c r="Y138">
        <v>137</v>
      </c>
      <c r="AC138" t="s">
        <v>69</v>
      </c>
      <c r="AE138" t="s">
        <v>69</v>
      </c>
      <c r="AF138" t="s">
        <v>69</v>
      </c>
      <c r="AH138" t="s">
        <v>69</v>
      </c>
      <c r="AI138" t="s">
        <v>69</v>
      </c>
      <c r="AM138">
        <v>2.2599999999999998</v>
      </c>
      <c r="AN138" s="2">
        <v>-6.8633089076461653</v>
      </c>
      <c r="AR138">
        <v>2.9899999999999998</v>
      </c>
      <c r="AS138">
        <v>6.9999999999999993E-2</v>
      </c>
      <c r="AT138">
        <v>0.22999999999999998</v>
      </c>
      <c r="AU138">
        <v>4.9999999999999989E-2</v>
      </c>
      <c r="BB138">
        <v>19.235902135635708</v>
      </c>
      <c r="BC138" s="2">
        <v>7.5609179803143602</v>
      </c>
      <c r="BD138" s="2">
        <f t="shared" si="2"/>
        <v>7.5609179803143602</v>
      </c>
      <c r="BF138">
        <v>4.05</v>
      </c>
      <c r="BG138">
        <v>6.81</v>
      </c>
      <c r="BH138" s="2">
        <v>17.979440279988168</v>
      </c>
    </row>
    <row r="139" spans="1:60" x14ac:dyDescent="0.25">
      <c r="A139">
        <v>69</v>
      </c>
      <c r="B139">
        <v>-52.648250820000001</v>
      </c>
      <c r="C139">
        <v>-17.749573640000001</v>
      </c>
      <c r="D139" t="s">
        <v>273</v>
      </c>
      <c r="E139" s="3">
        <v>46203</v>
      </c>
      <c r="F139" t="s">
        <v>62</v>
      </c>
      <c r="G139" t="s">
        <v>63</v>
      </c>
      <c r="H139">
        <v>0</v>
      </c>
      <c r="I139" t="s">
        <v>64</v>
      </c>
      <c r="J139">
        <v>1</v>
      </c>
      <c r="K139">
        <v>2</v>
      </c>
      <c r="L139">
        <v>0</v>
      </c>
      <c r="M139" t="s">
        <v>65</v>
      </c>
      <c r="O139">
        <v>440346</v>
      </c>
      <c r="P139">
        <v>1</v>
      </c>
      <c r="Q139">
        <v>1001</v>
      </c>
      <c r="T139">
        <v>296</v>
      </c>
      <c r="V139" t="s">
        <v>70</v>
      </c>
      <c r="W139" t="s">
        <v>67</v>
      </c>
      <c r="X139" t="s">
        <v>275</v>
      </c>
      <c r="Y139">
        <v>138</v>
      </c>
      <c r="AC139" t="s">
        <v>69</v>
      </c>
      <c r="AF139" t="s">
        <v>69</v>
      </c>
      <c r="AH139" t="s">
        <v>69</v>
      </c>
      <c r="AI139" t="s">
        <v>69</v>
      </c>
      <c r="AM139">
        <v>2.2599999999999998</v>
      </c>
      <c r="AN139" s="2">
        <v>-6.6969668861886626</v>
      </c>
      <c r="AR139">
        <v>3.13</v>
      </c>
      <c r="AS139">
        <v>-1.0000000000000011E-2</v>
      </c>
      <c r="AT139">
        <v>0.14000000000000001</v>
      </c>
      <c r="AU139">
        <v>0.04</v>
      </c>
      <c r="BB139">
        <v>20.065799785297141</v>
      </c>
      <c r="BD139" s="2">
        <f t="shared" si="2"/>
        <v>10.065799785297141</v>
      </c>
      <c r="BF139">
        <v>4.0599999999999996</v>
      </c>
      <c r="BG139">
        <v>6.79</v>
      </c>
      <c r="BH139" s="2">
        <v>18.362359654363456</v>
      </c>
    </row>
    <row r="140" spans="1:60" x14ac:dyDescent="0.25">
      <c r="A140">
        <v>70</v>
      </c>
      <c r="B140">
        <v>-52.605784980000003</v>
      </c>
      <c r="C140">
        <v>-17.752234649999998</v>
      </c>
      <c r="D140" t="s">
        <v>276</v>
      </c>
      <c r="E140" s="3">
        <v>46203</v>
      </c>
      <c r="F140" t="s">
        <v>62</v>
      </c>
      <c r="G140" t="s">
        <v>63</v>
      </c>
      <c r="H140">
        <v>0</v>
      </c>
      <c r="I140" t="s">
        <v>64</v>
      </c>
      <c r="J140">
        <v>1</v>
      </c>
      <c r="K140">
        <v>2</v>
      </c>
      <c r="L140">
        <v>0</v>
      </c>
      <c r="M140" t="s">
        <v>65</v>
      </c>
      <c r="O140">
        <v>440357</v>
      </c>
      <c r="P140">
        <v>1</v>
      </c>
      <c r="Q140">
        <v>1001</v>
      </c>
      <c r="T140">
        <v>297</v>
      </c>
      <c r="V140" t="s">
        <v>66</v>
      </c>
      <c r="W140" t="s">
        <v>67</v>
      </c>
      <c r="X140" t="s">
        <v>277</v>
      </c>
      <c r="Y140">
        <v>139</v>
      </c>
      <c r="AC140" t="s">
        <v>69</v>
      </c>
      <c r="AE140" t="s">
        <v>69</v>
      </c>
      <c r="AF140" t="s">
        <v>69</v>
      </c>
      <c r="AH140" t="s">
        <v>69</v>
      </c>
      <c r="AI140" t="s">
        <v>69</v>
      </c>
      <c r="AM140">
        <v>1.47</v>
      </c>
      <c r="AN140" s="2">
        <v>-5.1998886930711414</v>
      </c>
      <c r="AR140">
        <v>9.0000000000000011E-2</v>
      </c>
      <c r="AS140">
        <v>12.04</v>
      </c>
      <c r="AT140">
        <v>0.74</v>
      </c>
      <c r="AU140">
        <v>4.72</v>
      </c>
      <c r="BB140">
        <v>24.967195620943979</v>
      </c>
      <c r="BC140" s="2">
        <v>8.4662043318274307</v>
      </c>
      <c r="BD140" s="2">
        <f t="shared" si="2"/>
        <v>8.4662043318274307</v>
      </c>
      <c r="BF140">
        <v>5.6</v>
      </c>
      <c r="BG140">
        <v>7.23</v>
      </c>
      <c r="BH140" s="2">
        <v>11.549878280341003</v>
      </c>
    </row>
    <row r="141" spans="1:60" x14ac:dyDescent="0.25">
      <c r="A141">
        <v>70</v>
      </c>
      <c r="B141">
        <v>-52.605784980000003</v>
      </c>
      <c r="C141">
        <v>-17.752234649999998</v>
      </c>
      <c r="D141" t="s">
        <v>276</v>
      </c>
      <c r="E141" s="3">
        <v>46203</v>
      </c>
      <c r="F141" t="s">
        <v>62</v>
      </c>
      <c r="G141" t="s">
        <v>63</v>
      </c>
      <c r="H141">
        <v>0</v>
      </c>
      <c r="I141" t="s">
        <v>64</v>
      </c>
      <c r="J141">
        <v>1</v>
      </c>
      <c r="K141">
        <v>2</v>
      </c>
      <c r="L141">
        <v>0</v>
      </c>
      <c r="M141" t="s">
        <v>65</v>
      </c>
      <c r="O141">
        <v>440357</v>
      </c>
      <c r="P141">
        <v>1</v>
      </c>
      <c r="Q141">
        <v>1001</v>
      </c>
      <c r="T141">
        <v>297</v>
      </c>
      <c r="V141" t="s">
        <v>70</v>
      </c>
      <c r="W141" t="s">
        <v>67</v>
      </c>
      <c r="X141" t="s">
        <v>278</v>
      </c>
      <c r="Y141">
        <v>140</v>
      </c>
      <c r="AC141" t="s">
        <v>69</v>
      </c>
      <c r="AE141" t="s">
        <v>69</v>
      </c>
      <c r="AF141" t="s">
        <v>69</v>
      </c>
      <c r="AH141" t="s">
        <v>69</v>
      </c>
      <c r="AI141" t="s">
        <v>69</v>
      </c>
      <c r="AM141">
        <v>1.63</v>
      </c>
      <c r="AN141" s="2">
        <v>-5.1998886930711414</v>
      </c>
      <c r="AR141">
        <v>0.10999999999999999</v>
      </c>
      <c r="AS141">
        <v>10.58</v>
      </c>
      <c r="AT141">
        <v>0.86999999999999988</v>
      </c>
      <c r="AU141">
        <v>3.8600000000000003</v>
      </c>
      <c r="BB141">
        <v>21.527600850186591</v>
      </c>
      <c r="BC141" s="2">
        <v>8.6472616021300404</v>
      </c>
      <c r="BD141" s="2">
        <f t="shared" si="2"/>
        <v>8.6472616021300404</v>
      </c>
      <c r="BF141">
        <v>5.46</v>
      </c>
      <c r="BG141">
        <v>7.17</v>
      </c>
      <c r="BH141" s="2">
        <v>12.303661468099419</v>
      </c>
    </row>
    <row r="142" spans="1:60" x14ac:dyDescent="0.25">
      <c r="A142">
        <v>71</v>
      </c>
      <c r="B142">
        <v>-52.599072929999998</v>
      </c>
      <c r="C142">
        <v>-17.755525290000001</v>
      </c>
      <c r="D142" t="s">
        <v>279</v>
      </c>
      <c r="E142" s="3">
        <v>46203</v>
      </c>
      <c r="F142" t="s">
        <v>62</v>
      </c>
      <c r="G142" t="s">
        <v>63</v>
      </c>
      <c r="H142">
        <v>0</v>
      </c>
      <c r="I142" t="s">
        <v>64</v>
      </c>
      <c r="J142">
        <v>1</v>
      </c>
      <c r="K142">
        <v>2</v>
      </c>
      <c r="L142">
        <v>0</v>
      </c>
      <c r="M142" t="s">
        <v>65</v>
      </c>
      <c r="O142">
        <v>440357</v>
      </c>
      <c r="P142">
        <v>1</v>
      </c>
      <c r="Q142">
        <v>1001</v>
      </c>
      <c r="T142">
        <v>298</v>
      </c>
      <c r="V142" t="s">
        <v>66</v>
      </c>
      <c r="W142" t="s">
        <v>67</v>
      </c>
      <c r="X142" t="s">
        <v>280</v>
      </c>
      <c r="Y142">
        <v>141</v>
      </c>
      <c r="AC142" t="s">
        <v>69</v>
      </c>
      <c r="AE142" t="s">
        <v>69</v>
      </c>
      <c r="AF142" t="s">
        <v>69</v>
      </c>
      <c r="AH142" t="s">
        <v>69</v>
      </c>
      <c r="AI142" t="s">
        <v>69</v>
      </c>
      <c r="AM142">
        <v>1.330000000000001</v>
      </c>
      <c r="AN142" s="2">
        <v>-2.2057323068360986</v>
      </c>
      <c r="AR142">
        <v>0.08</v>
      </c>
      <c r="AS142">
        <v>17</v>
      </c>
      <c r="AT142">
        <v>0.57000000000000006</v>
      </c>
      <c r="AU142">
        <v>4.5</v>
      </c>
      <c r="BB142">
        <v>23.990953719557499</v>
      </c>
      <c r="BC142" s="2">
        <v>10.6388915754588</v>
      </c>
      <c r="BD142" s="2">
        <f t="shared" si="2"/>
        <v>10.6388915754588</v>
      </c>
      <c r="BF142">
        <v>5.74</v>
      </c>
      <c r="BG142">
        <v>7.13</v>
      </c>
      <c r="BH142" s="2">
        <v>12.833319804286845</v>
      </c>
    </row>
    <row r="143" spans="1:60" x14ac:dyDescent="0.25">
      <c r="A143">
        <v>71</v>
      </c>
      <c r="B143">
        <v>-52.599072929999998</v>
      </c>
      <c r="C143">
        <v>-17.755525290000001</v>
      </c>
      <c r="D143" t="s">
        <v>279</v>
      </c>
      <c r="E143" s="3">
        <v>46203</v>
      </c>
      <c r="F143" t="s">
        <v>62</v>
      </c>
      <c r="G143" t="s">
        <v>63</v>
      </c>
      <c r="H143">
        <v>0</v>
      </c>
      <c r="I143" t="s">
        <v>64</v>
      </c>
      <c r="J143">
        <v>1</v>
      </c>
      <c r="K143">
        <v>2</v>
      </c>
      <c r="L143">
        <v>0</v>
      </c>
      <c r="M143" t="s">
        <v>65</v>
      </c>
      <c r="O143">
        <v>440357</v>
      </c>
      <c r="P143">
        <v>1</v>
      </c>
      <c r="Q143">
        <v>1001</v>
      </c>
      <c r="T143">
        <v>298</v>
      </c>
      <c r="V143" t="s">
        <v>70</v>
      </c>
      <c r="W143" t="s">
        <v>67</v>
      </c>
      <c r="X143" t="s">
        <v>281</v>
      </c>
      <c r="Y143">
        <v>142</v>
      </c>
      <c r="AC143" t="s">
        <v>69</v>
      </c>
      <c r="AF143" t="s">
        <v>69</v>
      </c>
      <c r="AH143" t="s">
        <v>69</v>
      </c>
      <c r="AI143" t="s">
        <v>69</v>
      </c>
      <c r="AM143">
        <v>1.72</v>
      </c>
      <c r="AN143" s="2">
        <v>-4.2018365643261273</v>
      </c>
      <c r="AR143">
        <v>0.16</v>
      </c>
      <c r="AS143">
        <v>11.23</v>
      </c>
      <c r="AT143">
        <v>0.76</v>
      </c>
      <c r="AU143">
        <v>3.83</v>
      </c>
      <c r="BB143">
        <v>23.195740739550221</v>
      </c>
      <c r="BD143" s="2">
        <f t="shared" si="2"/>
        <v>13.195740739550221</v>
      </c>
      <c r="BF143">
        <v>5.35</v>
      </c>
      <c r="BG143">
        <v>6.99</v>
      </c>
      <c r="BH143" s="2">
        <v>14.873229191768838</v>
      </c>
    </row>
    <row r="144" spans="1:60" x14ac:dyDescent="0.25">
      <c r="A144">
        <v>72</v>
      </c>
      <c r="B144">
        <v>-52.609798859999998</v>
      </c>
      <c r="C144">
        <v>-17.75780628</v>
      </c>
      <c r="D144" t="s">
        <v>282</v>
      </c>
      <c r="E144" s="3">
        <v>46203</v>
      </c>
      <c r="F144" t="s">
        <v>62</v>
      </c>
      <c r="G144" t="s">
        <v>63</v>
      </c>
      <c r="H144">
        <v>0</v>
      </c>
      <c r="I144" t="s">
        <v>64</v>
      </c>
      <c r="J144">
        <v>1</v>
      </c>
      <c r="K144">
        <v>2</v>
      </c>
      <c r="L144">
        <v>0</v>
      </c>
      <c r="M144" t="s">
        <v>65</v>
      </c>
      <c r="O144">
        <v>440357</v>
      </c>
      <c r="P144">
        <v>1</v>
      </c>
      <c r="Q144">
        <v>1001</v>
      </c>
      <c r="T144">
        <v>299</v>
      </c>
      <c r="V144" t="s">
        <v>66</v>
      </c>
      <c r="W144" t="s">
        <v>67</v>
      </c>
      <c r="X144" t="s">
        <v>283</v>
      </c>
      <c r="Y144">
        <v>143</v>
      </c>
      <c r="AC144" t="s">
        <v>69</v>
      </c>
      <c r="AE144" t="s">
        <v>69</v>
      </c>
      <c r="AF144" t="s">
        <v>69</v>
      </c>
      <c r="AH144" t="s">
        <v>69</v>
      </c>
      <c r="AI144" t="s">
        <v>69</v>
      </c>
      <c r="AM144">
        <v>1.54</v>
      </c>
      <c r="AN144" s="2">
        <v>7.941131002071546</v>
      </c>
      <c r="AR144">
        <v>0.05</v>
      </c>
      <c r="AS144">
        <v>29.439999999999998</v>
      </c>
      <c r="AT144">
        <v>3.08</v>
      </c>
      <c r="AU144">
        <v>5.9799999999999995</v>
      </c>
      <c r="BB144">
        <v>22.22386417885761</v>
      </c>
      <c r="BC144" s="2">
        <v>12.9926360893928</v>
      </c>
      <c r="BD144" s="2">
        <f t="shared" si="2"/>
        <v>12.9926360893928</v>
      </c>
      <c r="BF144">
        <v>6.31</v>
      </c>
      <c r="BG144">
        <v>7.34</v>
      </c>
      <c r="BH144" s="2">
        <v>10.285836979104618</v>
      </c>
    </row>
    <row r="145" spans="1:60" x14ac:dyDescent="0.25">
      <c r="A145">
        <v>72</v>
      </c>
      <c r="B145">
        <v>-52.609798859999998</v>
      </c>
      <c r="C145">
        <v>-17.75780628</v>
      </c>
      <c r="D145" t="s">
        <v>282</v>
      </c>
      <c r="E145" s="3">
        <v>46203</v>
      </c>
      <c r="F145" t="s">
        <v>62</v>
      </c>
      <c r="G145" t="s">
        <v>63</v>
      </c>
      <c r="H145">
        <v>0</v>
      </c>
      <c r="I145" t="s">
        <v>64</v>
      </c>
      <c r="J145">
        <v>1</v>
      </c>
      <c r="K145">
        <v>2</v>
      </c>
      <c r="L145">
        <v>0</v>
      </c>
      <c r="M145" t="s">
        <v>65</v>
      </c>
      <c r="O145">
        <v>440357</v>
      </c>
      <c r="P145">
        <v>1</v>
      </c>
      <c r="Q145">
        <v>1001</v>
      </c>
      <c r="T145">
        <v>299</v>
      </c>
      <c r="V145" t="s">
        <v>70</v>
      </c>
      <c r="W145" t="s">
        <v>67</v>
      </c>
      <c r="X145" t="s">
        <v>284</v>
      </c>
      <c r="Y145">
        <v>144</v>
      </c>
      <c r="AC145" t="s">
        <v>69</v>
      </c>
      <c r="AF145" t="s">
        <v>69</v>
      </c>
      <c r="AH145" t="s">
        <v>69</v>
      </c>
      <c r="AI145" t="s">
        <v>69</v>
      </c>
      <c r="AM145">
        <v>1.57</v>
      </c>
      <c r="AN145" s="2">
        <v>-2.8711003926661078</v>
      </c>
      <c r="AR145">
        <v>0.10999999999999999</v>
      </c>
      <c r="AS145">
        <v>19.89</v>
      </c>
      <c r="AT145">
        <v>1.23</v>
      </c>
      <c r="AU145">
        <v>4.24</v>
      </c>
      <c r="BB145">
        <v>22.806525044265271</v>
      </c>
      <c r="BD145" s="2">
        <f t="shared" si="2"/>
        <v>12.806525044265271</v>
      </c>
      <c r="BF145">
        <v>5.89</v>
      </c>
      <c r="BG145">
        <v>7.22</v>
      </c>
      <c r="BH145" s="2">
        <v>11.672222787844913</v>
      </c>
    </row>
    <row r="146" spans="1:60" x14ac:dyDescent="0.25">
      <c r="A146">
        <v>73</v>
      </c>
      <c r="B146">
        <v>-52.609294859999999</v>
      </c>
      <c r="C146">
        <v>-17.764137300000002</v>
      </c>
      <c r="D146" t="s">
        <v>285</v>
      </c>
      <c r="E146" s="3">
        <v>46203</v>
      </c>
      <c r="F146" t="s">
        <v>62</v>
      </c>
      <c r="G146" t="s">
        <v>63</v>
      </c>
      <c r="H146">
        <v>0</v>
      </c>
      <c r="I146" t="s">
        <v>64</v>
      </c>
      <c r="J146">
        <v>1</v>
      </c>
      <c r="K146">
        <v>2</v>
      </c>
      <c r="L146">
        <v>0</v>
      </c>
      <c r="M146" t="s">
        <v>65</v>
      </c>
      <c r="O146">
        <v>440357</v>
      </c>
      <c r="P146">
        <v>1</v>
      </c>
      <c r="Q146">
        <v>1001</v>
      </c>
      <c r="T146">
        <v>300</v>
      </c>
      <c r="V146" t="s">
        <v>66</v>
      </c>
      <c r="W146" t="s">
        <v>67</v>
      </c>
      <c r="X146" t="s">
        <v>286</v>
      </c>
      <c r="Y146">
        <v>145</v>
      </c>
      <c r="AC146" t="s">
        <v>69</v>
      </c>
      <c r="AE146" t="s">
        <v>69</v>
      </c>
      <c r="AF146" t="s">
        <v>69</v>
      </c>
      <c r="AH146" t="s">
        <v>69</v>
      </c>
      <c r="AI146" t="s">
        <v>69</v>
      </c>
      <c r="AM146">
        <v>3.78</v>
      </c>
      <c r="AN146" s="2">
        <v>-3.3701264570386154</v>
      </c>
      <c r="AR146">
        <v>0.15</v>
      </c>
      <c r="AS146">
        <v>14.74</v>
      </c>
      <c r="AT146">
        <v>3.3600000000000003</v>
      </c>
      <c r="AU146">
        <v>3.8200000000000003</v>
      </c>
      <c r="BB146">
        <v>26.644100492335578</v>
      </c>
      <c r="BC146" s="2">
        <v>11.363120656669199</v>
      </c>
      <c r="BD146" s="2">
        <f t="shared" si="2"/>
        <v>11.363120656669199</v>
      </c>
      <c r="BF146">
        <v>5.22</v>
      </c>
      <c r="BG146">
        <v>6.92</v>
      </c>
      <c r="BH146" s="2">
        <v>16.011735120211615</v>
      </c>
    </row>
    <row r="147" spans="1:60" x14ac:dyDescent="0.25">
      <c r="A147">
        <v>73</v>
      </c>
      <c r="B147">
        <v>-52.609294859999999</v>
      </c>
      <c r="C147">
        <v>-17.764137300000002</v>
      </c>
      <c r="D147" t="s">
        <v>285</v>
      </c>
      <c r="E147" s="3">
        <v>46203</v>
      </c>
      <c r="F147" t="s">
        <v>62</v>
      </c>
      <c r="G147" t="s">
        <v>63</v>
      </c>
      <c r="H147">
        <v>0</v>
      </c>
      <c r="I147" t="s">
        <v>64</v>
      </c>
      <c r="J147">
        <v>1</v>
      </c>
      <c r="K147">
        <v>2</v>
      </c>
      <c r="L147">
        <v>0</v>
      </c>
      <c r="M147" t="s">
        <v>65</v>
      </c>
      <c r="O147">
        <v>440357</v>
      </c>
      <c r="P147">
        <v>1</v>
      </c>
      <c r="Q147">
        <v>1001</v>
      </c>
      <c r="T147">
        <v>300</v>
      </c>
      <c r="V147" t="s">
        <v>70</v>
      </c>
      <c r="W147" t="s">
        <v>67</v>
      </c>
      <c r="X147" t="s">
        <v>287</v>
      </c>
      <c r="Y147">
        <v>146</v>
      </c>
      <c r="AC147" t="s">
        <v>69</v>
      </c>
      <c r="AF147" t="s">
        <v>69</v>
      </c>
      <c r="AH147" t="s">
        <v>69</v>
      </c>
      <c r="AI147" t="s">
        <v>69</v>
      </c>
      <c r="AM147">
        <v>6.44</v>
      </c>
      <c r="AN147" s="2">
        <v>3.616238444176485</v>
      </c>
      <c r="AR147">
        <v>0.15</v>
      </c>
      <c r="AS147">
        <v>15.69</v>
      </c>
      <c r="AT147">
        <v>2.7700000000000005</v>
      </c>
      <c r="AU147">
        <v>4.01</v>
      </c>
      <c r="BB147">
        <v>23.39803605095733</v>
      </c>
      <c r="BD147" s="2">
        <f t="shared" si="2"/>
        <v>13.39803605095733</v>
      </c>
      <c r="BF147">
        <v>5.52</v>
      </c>
      <c r="BG147">
        <v>7.06</v>
      </c>
      <c r="BH147" s="2">
        <v>13.81567612317343</v>
      </c>
    </row>
    <row r="148" spans="1:60" x14ac:dyDescent="0.25">
      <c r="A148">
        <v>74</v>
      </c>
      <c r="B148">
        <v>-52.602966219999999</v>
      </c>
      <c r="C148">
        <v>-17.758373160000001</v>
      </c>
      <c r="D148" t="s">
        <v>288</v>
      </c>
      <c r="E148" s="3">
        <v>46203</v>
      </c>
      <c r="F148" t="s">
        <v>62</v>
      </c>
      <c r="G148" t="s">
        <v>63</v>
      </c>
      <c r="H148">
        <v>0</v>
      </c>
      <c r="I148" t="s">
        <v>64</v>
      </c>
      <c r="J148">
        <v>1</v>
      </c>
      <c r="K148">
        <v>2</v>
      </c>
      <c r="L148">
        <v>0</v>
      </c>
      <c r="M148" t="s">
        <v>65</v>
      </c>
      <c r="O148">
        <v>440357</v>
      </c>
      <c r="P148">
        <v>1</v>
      </c>
      <c r="Q148">
        <v>1001</v>
      </c>
      <c r="T148">
        <v>301</v>
      </c>
      <c r="V148" t="s">
        <v>66</v>
      </c>
      <c r="W148" t="s">
        <v>67</v>
      </c>
      <c r="X148" t="s">
        <v>289</v>
      </c>
      <c r="Y148">
        <v>147</v>
      </c>
      <c r="AC148" t="s">
        <v>69</v>
      </c>
      <c r="AE148" t="s">
        <v>69</v>
      </c>
      <c r="AF148" t="s">
        <v>69</v>
      </c>
      <c r="AH148" t="s">
        <v>69</v>
      </c>
      <c r="AI148" t="s">
        <v>69</v>
      </c>
      <c r="AM148">
        <v>1.34</v>
      </c>
      <c r="AN148" s="2">
        <v>-4.0354945428686246</v>
      </c>
      <c r="AR148">
        <v>0.04</v>
      </c>
      <c r="AS148">
        <v>19.45</v>
      </c>
      <c r="AT148">
        <v>1.1700000000000002</v>
      </c>
      <c r="AU148">
        <v>3.8600000000000003</v>
      </c>
      <c r="BB148">
        <v>21.641608124543499</v>
      </c>
      <c r="BC148" s="2">
        <v>8.2851470615248104</v>
      </c>
      <c r="BD148" s="2">
        <f t="shared" si="2"/>
        <v>8.2851470615248104</v>
      </c>
      <c r="BF148">
        <v>6.54</v>
      </c>
      <c r="BG148">
        <v>7.46</v>
      </c>
      <c r="BH148" s="2">
        <v>9.0641212289822981</v>
      </c>
    </row>
    <row r="149" spans="1:60" x14ac:dyDescent="0.25">
      <c r="A149">
        <v>74</v>
      </c>
      <c r="B149">
        <v>-52.602966219999999</v>
      </c>
      <c r="C149">
        <v>-17.758373160000001</v>
      </c>
      <c r="D149" t="s">
        <v>288</v>
      </c>
      <c r="E149" s="3">
        <v>46203</v>
      </c>
      <c r="F149" t="s">
        <v>62</v>
      </c>
      <c r="G149" t="s">
        <v>63</v>
      </c>
      <c r="H149">
        <v>0</v>
      </c>
      <c r="I149" t="s">
        <v>64</v>
      </c>
      <c r="J149">
        <v>1</v>
      </c>
      <c r="K149">
        <v>2</v>
      </c>
      <c r="L149">
        <v>0</v>
      </c>
      <c r="M149" t="s">
        <v>65</v>
      </c>
      <c r="O149">
        <v>440357</v>
      </c>
      <c r="P149">
        <v>1</v>
      </c>
      <c r="Q149">
        <v>1001</v>
      </c>
      <c r="T149">
        <v>301</v>
      </c>
      <c r="V149" t="s">
        <v>70</v>
      </c>
      <c r="W149" t="s">
        <v>67</v>
      </c>
      <c r="X149" t="s">
        <v>290</v>
      </c>
      <c r="Y149">
        <v>148</v>
      </c>
      <c r="AC149" t="s">
        <v>69</v>
      </c>
      <c r="AF149" t="s">
        <v>69</v>
      </c>
      <c r="AH149" t="s">
        <v>69</v>
      </c>
      <c r="AI149" t="s">
        <v>69</v>
      </c>
      <c r="AM149">
        <v>1.2</v>
      </c>
      <c r="AN149" s="2">
        <v>-4.8672046501561361</v>
      </c>
      <c r="AR149">
        <v>0.03</v>
      </c>
      <c r="AS149">
        <v>18.79</v>
      </c>
      <c r="AT149">
        <v>1.07</v>
      </c>
      <c r="AU149">
        <v>3.79</v>
      </c>
      <c r="BB149">
        <v>20.626908958791521</v>
      </c>
      <c r="BD149" s="2">
        <f t="shared" si="2"/>
        <v>10.626908958791521</v>
      </c>
      <c r="BF149">
        <v>6.5</v>
      </c>
      <c r="BG149">
        <v>7.44</v>
      </c>
      <c r="BH149" s="2">
        <v>9.2571654826527983</v>
      </c>
    </row>
    <row r="150" spans="1:60" x14ac:dyDescent="0.25">
      <c r="A150">
        <v>75</v>
      </c>
      <c r="B150">
        <v>-52.602450560000001</v>
      </c>
      <c r="C150">
        <v>-17.75697525</v>
      </c>
      <c r="D150" t="s">
        <v>291</v>
      </c>
      <c r="E150" s="3">
        <v>46203</v>
      </c>
      <c r="F150" t="s">
        <v>62</v>
      </c>
      <c r="G150" t="s">
        <v>63</v>
      </c>
      <c r="H150">
        <v>0</v>
      </c>
      <c r="I150" t="s">
        <v>64</v>
      </c>
      <c r="J150">
        <v>1</v>
      </c>
      <c r="K150">
        <v>2</v>
      </c>
      <c r="L150">
        <v>0</v>
      </c>
      <c r="M150" t="s">
        <v>65</v>
      </c>
      <c r="O150">
        <v>440357</v>
      </c>
      <c r="P150">
        <v>1</v>
      </c>
      <c r="Q150">
        <v>1001</v>
      </c>
      <c r="T150">
        <v>302</v>
      </c>
      <c r="V150" t="s">
        <v>66</v>
      </c>
      <c r="W150" t="s">
        <v>67</v>
      </c>
      <c r="X150" t="s">
        <v>292</v>
      </c>
      <c r="Y150">
        <v>149</v>
      </c>
      <c r="AC150" t="s">
        <v>69</v>
      </c>
      <c r="AF150" t="s">
        <v>69</v>
      </c>
      <c r="AH150" t="s">
        <v>69</v>
      </c>
      <c r="AI150" t="s">
        <v>69</v>
      </c>
      <c r="AM150">
        <v>1.56</v>
      </c>
      <c r="AN150" s="2">
        <v>-2.8711003926661078</v>
      </c>
      <c r="AR150">
        <v>0.08</v>
      </c>
      <c r="AS150">
        <v>20.880000000000003</v>
      </c>
      <c r="AT150">
        <v>0.71</v>
      </c>
      <c r="AU150">
        <v>4.38</v>
      </c>
      <c r="BB150">
        <v>20.870731223089422</v>
      </c>
      <c r="BD150" s="2">
        <f t="shared" si="2"/>
        <v>10.870731223089422</v>
      </c>
      <c r="BF150">
        <v>6.52</v>
      </c>
      <c r="BG150">
        <v>7.49</v>
      </c>
      <c r="BH150" s="2">
        <v>8.7820766344737926</v>
      </c>
    </row>
    <row r="151" spans="1:60" x14ac:dyDescent="0.25">
      <c r="A151">
        <v>75</v>
      </c>
      <c r="B151">
        <v>-52.602450560000001</v>
      </c>
      <c r="C151">
        <v>-17.75697525</v>
      </c>
      <c r="D151" t="s">
        <v>291</v>
      </c>
      <c r="E151" s="3">
        <v>46203</v>
      </c>
      <c r="F151" t="s">
        <v>62</v>
      </c>
      <c r="G151" t="s">
        <v>63</v>
      </c>
      <c r="H151">
        <v>0</v>
      </c>
      <c r="I151" t="s">
        <v>64</v>
      </c>
      <c r="J151">
        <v>1</v>
      </c>
      <c r="K151">
        <v>2</v>
      </c>
      <c r="L151">
        <v>0</v>
      </c>
      <c r="M151" t="s">
        <v>65</v>
      </c>
      <c r="O151">
        <v>440357</v>
      </c>
      <c r="P151">
        <v>1</v>
      </c>
      <c r="Q151">
        <v>1001</v>
      </c>
      <c r="T151">
        <v>302</v>
      </c>
      <c r="V151" t="s">
        <v>70</v>
      </c>
      <c r="W151" t="s">
        <v>67</v>
      </c>
      <c r="X151" t="s">
        <v>293</v>
      </c>
      <c r="Y151">
        <v>150</v>
      </c>
      <c r="AC151" t="s">
        <v>69</v>
      </c>
      <c r="AF151" t="s">
        <v>69</v>
      </c>
      <c r="AH151" t="s">
        <v>69</v>
      </c>
      <c r="AI151" t="s">
        <v>69</v>
      </c>
      <c r="AM151">
        <v>1.48</v>
      </c>
      <c r="AN151" s="2">
        <v>-4.7008626286986344</v>
      </c>
      <c r="AR151">
        <v>0.13</v>
      </c>
      <c r="AS151">
        <v>14.73</v>
      </c>
      <c r="AT151">
        <v>0.81</v>
      </c>
      <c r="AU151">
        <v>3.04</v>
      </c>
      <c r="BB151">
        <v>22.165336206686359</v>
      </c>
      <c r="BD151" s="2">
        <f t="shared" si="2"/>
        <v>12.165336206686359</v>
      </c>
      <c r="BF151">
        <v>6.35</v>
      </c>
      <c r="BG151">
        <v>7.46</v>
      </c>
      <c r="BH151" s="2">
        <v>9.0641212289822981</v>
      </c>
    </row>
    <row r="152" spans="1:60" x14ac:dyDescent="0.25">
      <c r="A152">
        <v>76</v>
      </c>
      <c r="B152">
        <v>-52.599857040000003</v>
      </c>
      <c r="C152">
        <v>-17.75978379</v>
      </c>
      <c r="D152" t="s">
        <v>294</v>
      </c>
      <c r="E152" s="3">
        <v>46203</v>
      </c>
      <c r="F152" t="s">
        <v>62</v>
      </c>
      <c r="G152" t="s">
        <v>63</v>
      </c>
      <c r="H152">
        <v>0</v>
      </c>
      <c r="I152" t="s">
        <v>64</v>
      </c>
      <c r="J152">
        <v>1</v>
      </c>
      <c r="K152">
        <v>2</v>
      </c>
      <c r="L152">
        <v>0</v>
      </c>
      <c r="M152" t="s">
        <v>65</v>
      </c>
      <c r="O152">
        <v>440357</v>
      </c>
      <c r="P152">
        <v>1</v>
      </c>
      <c r="Q152">
        <v>1001</v>
      </c>
      <c r="T152">
        <v>303</v>
      </c>
      <c r="V152" t="s">
        <v>66</v>
      </c>
      <c r="W152" t="s">
        <v>67</v>
      </c>
      <c r="X152" t="s">
        <v>295</v>
      </c>
      <c r="Y152">
        <v>151</v>
      </c>
      <c r="AC152" t="s">
        <v>69</v>
      </c>
      <c r="AF152" t="s">
        <v>69</v>
      </c>
      <c r="AH152" t="s">
        <v>69</v>
      </c>
      <c r="AI152" t="s">
        <v>69</v>
      </c>
      <c r="AM152">
        <v>2.0299999999999998</v>
      </c>
      <c r="AN152" s="2">
        <v>-4.5345206072411317</v>
      </c>
      <c r="AR152">
        <v>0.10999999999999999</v>
      </c>
      <c r="AS152">
        <v>18.03</v>
      </c>
      <c r="AT152">
        <v>0.98999999999999988</v>
      </c>
      <c r="AU152">
        <v>3.7800000000000002</v>
      </c>
      <c r="BB152">
        <v>24.352979700253599</v>
      </c>
      <c r="BD152" s="2">
        <f t="shared" si="2"/>
        <v>14.352979700253599</v>
      </c>
      <c r="BF152">
        <v>6.02</v>
      </c>
      <c r="BG152">
        <v>7.27</v>
      </c>
      <c r="BH152" s="2">
        <v>11.073190298865697</v>
      </c>
    </row>
    <row r="153" spans="1:60" x14ac:dyDescent="0.25">
      <c r="A153">
        <v>76</v>
      </c>
      <c r="B153">
        <v>-52.599857040000003</v>
      </c>
      <c r="C153">
        <v>-17.75978379</v>
      </c>
      <c r="D153" t="s">
        <v>294</v>
      </c>
      <c r="E153" s="3">
        <v>46203</v>
      </c>
      <c r="F153" t="s">
        <v>62</v>
      </c>
      <c r="G153" t="s">
        <v>63</v>
      </c>
      <c r="H153">
        <v>0</v>
      </c>
      <c r="I153" t="s">
        <v>64</v>
      </c>
      <c r="J153">
        <v>1</v>
      </c>
      <c r="K153">
        <v>2</v>
      </c>
      <c r="L153">
        <v>0</v>
      </c>
      <c r="M153" t="s">
        <v>65</v>
      </c>
      <c r="O153">
        <v>440357</v>
      </c>
      <c r="P153">
        <v>1</v>
      </c>
      <c r="Q153">
        <v>1001</v>
      </c>
      <c r="T153">
        <v>303</v>
      </c>
      <c r="V153" t="s">
        <v>70</v>
      </c>
      <c r="W153" t="s">
        <v>67</v>
      </c>
      <c r="X153" t="s">
        <v>296</v>
      </c>
      <c r="Y153">
        <v>152</v>
      </c>
      <c r="AC153" t="s">
        <v>69</v>
      </c>
      <c r="AF153" t="s">
        <v>69</v>
      </c>
      <c r="AH153" t="s">
        <v>69</v>
      </c>
      <c r="AI153" t="s">
        <v>69</v>
      </c>
      <c r="AM153">
        <v>2.14</v>
      </c>
      <c r="AN153" s="2">
        <v>-5.0335466716136388</v>
      </c>
      <c r="AR153">
        <v>0.02</v>
      </c>
      <c r="AS153">
        <v>12.76</v>
      </c>
      <c r="AT153">
        <v>0.79</v>
      </c>
      <c r="AU153">
        <v>2.9699999999999998</v>
      </c>
      <c r="BB153">
        <v>26.224926894280969</v>
      </c>
      <c r="BD153" s="2">
        <f t="shared" si="2"/>
        <v>16.224926894280969</v>
      </c>
      <c r="BF153">
        <v>5.53</v>
      </c>
      <c r="BG153">
        <v>7.11</v>
      </c>
      <c r="BH153" s="2">
        <v>13.106639035257849</v>
      </c>
    </row>
    <row r="154" spans="1:60" x14ac:dyDescent="0.25">
      <c r="A154">
        <v>77</v>
      </c>
      <c r="B154">
        <v>-52.597787719999999</v>
      </c>
      <c r="C154">
        <v>-17.76490291</v>
      </c>
      <c r="D154" t="s">
        <v>297</v>
      </c>
      <c r="E154" s="3">
        <v>46203</v>
      </c>
      <c r="F154" t="s">
        <v>62</v>
      </c>
      <c r="G154" t="s">
        <v>63</v>
      </c>
      <c r="H154">
        <v>0</v>
      </c>
      <c r="I154" t="s">
        <v>64</v>
      </c>
      <c r="J154">
        <v>1</v>
      </c>
      <c r="K154">
        <v>2</v>
      </c>
      <c r="L154">
        <v>0</v>
      </c>
      <c r="M154" t="s">
        <v>65</v>
      </c>
      <c r="O154">
        <v>440357</v>
      </c>
      <c r="P154">
        <v>1</v>
      </c>
      <c r="Q154">
        <v>1001</v>
      </c>
      <c r="T154">
        <v>304</v>
      </c>
      <c r="V154" t="s">
        <v>66</v>
      </c>
      <c r="W154" t="s">
        <v>67</v>
      </c>
      <c r="X154" t="s">
        <v>298</v>
      </c>
      <c r="Y154">
        <v>153</v>
      </c>
      <c r="AC154" t="s">
        <v>69</v>
      </c>
      <c r="AF154" t="s">
        <v>69</v>
      </c>
      <c r="AH154" t="s">
        <v>69</v>
      </c>
      <c r="AI154" t="s">
        <v>69</v>
      </c>
      <c r="AM154">
        <v>2.2200000000000002</v>
      </c>
      <c r="AN154" s="2">
        <v>4.2816065300064947</v>
      </c>
      <c r="AR154">
        <v>9.9999999999999978E-2</v>
      </c>
      <c r="AS154">
        <v>11.07</v>
      </c>
      <c r="AT154">
        <v>0.47999999999999987</v>
      </c>
      <c r="AU154">
        <v>3</v>
      </c>
      <c r="BB154">
        <v>23.336112793805508</v>
      </c>
      <c r="BD154" s="2">
        <f t="shared" si="2"/>
        <v>13.336112793805508</v>
      </c>
      <c r="BF154">
        <v>5.73</v>
      </c>
      <c r="BG154">
        <v>7.22</v>
      </c>
      <c r="BH154" s="2">
        <v>11.672222787844913</v>
      </c>
    </row>
    <row r="155" spans="1:60" x14ac:dyDescent="0.25">
      <c r="A155">
        <v>77</v>
      </c>
      <c r="B155">
        <v>-52.597787719999999</v>
      </c>
      <c r="C155">
        <v>-17.76490291</v>
      </c>
      <c r="D155" t="s">
        <v>297</v>
      </c>
      <c r="E155" s="3">
        <v>46203</v>
      </c>
      <c r="F155" t="s">
        <v>62</v>
      </c>
      <c r="G155" t="s">
        <v>63</v>
      </c>
      <c r="H155">
        <v>0</v>
      </c>
      <c r="I155" t="s">
        <v>64</v>
      </c>
      <c r="J155">
        <v>1</v>
      </c>
      <c r="K155">
        <v>2</v>
      </c>
      <c r="L155">
        <v>0</v>
      </c>
      <c r="M155" t="s">
        <v>65</v>
      </c>
      <c r="O155">
        <v>440357</v>
      </c>
      <c r="P155">
        <v>1</v>
      </c>
      <c r="Q155">
        <v>1001</v>
      </c>
      <c r="T155">
        <v>304</v>
      </c>
      <c r="V155" t="s">
        <v>70</v>
      </c>
      <c r="W155" t="s">
        <v>67</v>
      </c>
      <c r="X155" t="s">
        <v>299</v>
      </c>
      <c r="Y155">
        <v>154</v>
      </c>
      <c r="AC155" t="s">
        <v>69</v>
      </c>
      <c r="AF155" t="s">
        <v>69</v>
      </c>
      <c r="AH155" t="s">
        <v>69</v>
      </c>
      <c r="AI155" t="s">
        <v>69</v>
      </c>
      <c r="AM155">
        <v>2.0699999999999998</v>
      </c>
      <c r="AN155" s="2">
        <v>1.2874501437714514</v>
      </c>
      <c r="AR155">
        <v>0.08</v>
      </c>
      <c r="AS155">
        <v>10.809999999999999</v>
      </c>
      <c r="AT155">
        <v>0.64</v>
      </c>
      <c r="AU155">
        <v>2.7300000000000004</v>
      </c>
      <c r="BB155">
        <v>24.18782244841799</v>
      </c>
      <c r="BD155" s="2">
        <f t="shared" si="2"/>
        <v>14.18782244841799</v>
      </c>
      <c r="BF155">
        <v>5.67</v>
      </c>
      <c r="BG155">
        <v>7.2</v>
      </c>
      <c r="BH155" s="2">
        <v>11.920813410127259</v>
      </c>
    </row>
    <row r="156" spans="1:60" x14ac:dyDescent="0.25">
      <c r="A156">
        <v>78</v>
      </c>
      <c r="B156">
        <v>-52.592343880000001</v>
      </c>
      <c r="C156">
        <v>-17.763932400000002</v>
      </c>
      <c r="D156" t="s">
        <v>300</v>
      </c>
      <c r="E156" s="3">
        <v>46203</v>
      </c>
      <c r="F156" t="s">
        <v>62</v>
      </c>
      <c r="G156" t="s">
        <v>63</v>
      </c>
      <c r="H156">
        <v>0</v>
      </c>
      <c r="I156" t="s">
        <v>64</v>
      </c>
      <c r="J156">
        <v>1</v>
      </c>
      <c r="K156">
        <v>2</v>
      </c>
      <c r="L156">
        <v>0</v>
      </c>
      <c r="M156" t="s">
        <v>65</v>
      </c>
      <c r="O156">
        <v>440357</v>
      </c>
      <c r="P156">
        <v>1</v>
      </c>
      <c r="Q156">
        <v>1001</v>
      </c>
      <c r="T156">
        <v>305</v>
      </c>
      <c r="V156" t="s">
        <v>66</v>
      </c>
      <c r="W156" t="s">
        <v>67</v>
      </c>
      <c r="X156" t="s">
        <v>301</v>
      </c>
      <c r="Y156">
        <v>155</v>
      </c>
      <c r="AC156" t="s">
        <v>69</v>
      </c>
      <c r="AF156" t="s">
        <v>69</v>
      </c>
      <c r="AH156" t="s">
        <v>69</v>
      </c>
      <c r="AI156" t="s">
        <v>69</v>
      </c>
      <c r="AM156">
        <v>1.55</v>
      </c>
      <c r="AN156" s="2">
        <v>-2.3720743282936008</v>
      </c>
      <c r="AR156">
        <v>0.19</v>
      </c>
      <c r="AS156">
        <v>12.02</v>
      </c>
      <c r="AT156">
        <v>0.59</v>
      </c>
      <c r="AU156">
        <v>3.84</v>
      </c>
      <c r="BB156">
        <v>23.180480684605641</v>
      </c>
      <c r="BD156" s="2">
        <f t="shared" si="2"/>
        <v>13.180480684605641</v>
      </c>
      <c r="BF156">
        <v>5.88</v>
      </c>
      <c r="BG156">
        <v>7.34</v>
      </c>
      <c r="BH156" s="2">
        <v>10.285836979104618</v>
      </c>
    </row>
    <row r="157" spans="1:60" x14ac:dyDescent="0.25">
      <c r="A157">
        <v>78</v>
      </c>
      <c r="B157">
        <v>-52.592343880000001</v>
      </c>
      <c r="C157">
        <v>-17.763932400000002</v>
      </c>
      <c r="D157" t="s">
        <v>300</v>
      </c>
      <c r="E157" s="3">
        <v>46203</v>
      </c>
      <c r="F157" t="s">
        <v>62</v>
      </c>
      <c r="G157" t="s">
        <v>63</v>
      </c>
      <c r="H157">
        <v>0</v>
      </c>
      <c r="I157" t="s">
        <v>64</v>
      </c>
      <c r="J157">
        <v>1</v>
      </c>
      <c r="K157">
        <v>2</v>
      </c>
      <c r="L157">
        <v>0</v>
      </c>
      <c r="M157" t="s">
        <v>65</v>
      </c>
      <c r="O157">
        <v>440357</v>
      </c>
      <c r="P157">
        <v>1</v>
      </c>
      <c r="Q157">
        <v>1001</v>
      </c>
      <c r="T157">
        <v>305</v>
      </c>
      <c r="V157" t="s">
        <v>70</v>
      </c>
      <c r="W157" t="s">
        <v>67</v>
      </c>
      <c r="X157" t="s">
        <v>302</v>
      </c>
      <c r="Y157">
        <v>156</v>
      </c>
      <c r="AC157" t="s">
        <v>69</v>
      </c>
      <c r="AF157" t="s">
        <v>69</v>
      </c>
      <c r="AH157" t="s">
        <v>69</v>
      </c>
      <c r="AI157" t="s">
        <v>69</v>
      </c>
      <c r="AM157">
        <v>2.2200000000000002</v>
      </c>
      <c r="AN157" s="2">
        <v>-4.7008626286986344</v>
      </c>
      <c r="AR157">
        <v>0.04</v>
      </c>
      <c r="AS157">
        <v>10.69</v>
      </c>
      <c r="AT157">
        <v>0.48999999999999988</v>
      </c>
      <c r="AU157">
        <v>3.3000000000000003</v>
      </c>
      <c r="BB157">
        <v>23.574525673895099</v>
      </c>
      <c r="BD157" s="2">
        <f t="shared" si="2"/>
        <v>13.574525673895099</v>
      </c>
      <c r="BF157">
        <v>5.69</v>
      </c>
      <c r="BG157">
        <v>7.25</v>
      </c>
      <c r="BH157" s="2">
        <v>11.309022951915502</v>
      </c>
    </row>
    <row r="158" spans="1:60" x14ac:dyDescent="0.25">
      <c r="A158">
        <v>79</v>
      </c>
      <c r="B158">
        <v>-52.594358280000002</v>
      </c>
      <c r="C158">
        <v>-17.758762000000001</v>
      </c>
      <c r="D158" t="s">
        <v>303</v>
      </c>
      <c r="E158" s="3">
        <v>46203</v>
      </c>
      <c r="F158" t="s">
        <v>62</v>
      </c>
      <c r="G158" t="s">
        <v>63</v>
      </c>
      <c r="H158">
        <v>0</v>
      </c>
      <c r="I158" t="s">
        <v>64</v>
      </c>
      <c r="J158">
        <v>1</v>
      </c>
      <c r="K158">
        <v>2</v>
      </c>
      <c r="L158">
        <v>0</v>
      </c>
      <c r="M158" t="s">
        <v>65</v>
      </c>
      <c r="O158">
        <v>440357</v>
      </c>
      <c r="P158">
        <v>1</v>
      </c>
      <c r="Q158">
        <v>1001</v>
      </c>
      <c r="T158">
        <v>306</v>
      </c>
      <c r="V158" t="s">
        <v>66</v>
      </c>
      <c r="W158" t="s">
        <v>67</v>
      </c>
      <c r="X158" t="s">
        <v>304</v>
      </c>
      <c r="Y158">
        <v>157</v>
      </c>
      <c r="AC158" t="s">
        <v>69</v>
      </c>
      <c r="AE158" t="s">
        <v>69</v>
      </c>
      <c r="AF158" t="s">
        <v>69</v>
      </c>
      <c r="AH158" t="s">
        <v>69</v>
      </c>
      <c r="AI158" t="s">
        <v>69</v>
      </c>
      <c r="AM158">
        <v>1.67</v>
      </c>
      <c r="AN158" s="2">
        <v>-4.5345206072411317</v>
      </c>
      <c r="AR158">
        <v>0.03</v>
      </c>
      <c r="AS158">
        <v>12.350000000000001</v>
      </c>
      <c r="AT158">
        <v>1.42</v>
      </c>
      <c r="AU158">
        <v>3.59</v>
      </c>
      <c r="BB158">
        <v>20.612613888803342</v>
      </c>
      <c r="BC158" s="2">
        <v>10.6388915754588</v>
      </c>
      <c r="BD158" s="2">
        <f t="shared" si="2"/>
        <v>10.6388915754588</v>
      </c>
      <c r="BF158">
        <v>5.55</v>
      </c>
      <c r="BG158">
        <v>7.11</v>
      </c>
      <c r="BH158" s="2">
        <v>13.106639035257849</v>
      </c>
    </row>
    <row r="159" spans="1:60" x14ac:dyDescent="0.25">
      <c r="A159">
        <v>79</v>
      </c>
      <c r="B159">
        <v>-52.594358280000002</v>
      </c>
      <c r="C159">
        <v>-17.758762000000001</v>
      </c>
      <c r="D159" t="s">
        <v>303</v>
      </c>
      <c r="E159" s="3">
        <v>46203</v>
      </c>
      <c r="F159" t="s">
        <v>62</v>
      </c>
      <c r="G159" t="s">
        <v>63</v>
      </c>
      <c r="H159">
        <v>0</v>
      </c>
      <c r="I159" t="s">
        <v>64</v>
      </c>
      <c r="J159">
        <v>1</v>
      </c>
      <c r="K159">
        <v>2</v>
      </c>
      <c r="L159">
        <v>0</v>
      </c>
      <c r="M159" t="s">
        <v>65</v>
      </c>
      <c r="O159">
        <v>440357</v>
      </c>
      <c r="P159">
        <v>1</v>
      </c>
      <c r="Q159">
        <v>1001</v>
      </c>
      <c r="T159">
        <v>306</v>
      </c>
      <c r="V159" t="s">
        <v>70</v>
      </c>
      <c r="W159" t="s">
        <v>67</v>
      </c>
      <c r="X159" t="s">
        <v>305</v>
      </c>
      <c r="Y159">
        <v>158</v>
      </c>
      <c r="AC159" t="s">
        <v>69</v>
      </c>
      <c r="AF159" t="s">
        <v>69</v>
      </c>
      <c r="AH159" t="s">
        <v>69</v>
      </c>
      <c r="AI159" t="s">
        <v>69</v>
      </c>
      <c r="AM159">
        <v>2.2200000000000002</v>
      </c>
      <c r="AN159" s="2">
        <v>-4.8672046501561361</v>
      </c>
      <c r="AR159">
        <v>0.02</v>
      </c>
      <c r="AS159">
        <v>9.77</v>
      </c>
      <c r="AT159">
        <v>1.05</v>
      </c>
      <c r="AU159">
        <v>2.8100000000000005</v>
      </c>
      <c r="BB159">
        <v>21.48222610789287</v>
      </c>
      <c r="BD159" s="2">
        <f t="shared" si="2"/>
        <v>11.48222610789287</v>
      </c>
      <c r="BF159">
        <v>5.41</v>
      </c>
      <c r="BG159">
        <v>7.07</v>
      </c>
      <c r="BH159" s="2">
        <v>13.670864623097938</v>
      </c>
    </row>
    <row r="160" spans="1:60" x14ac:dyDescent="0.25">
      <c r="A160">
        <v>80</v>
      </c>
      <c r="B160">
        <v>-52.593569610000003</v>
      </c>
      <c r="C160">
        <v>-17.768051889999999</v>
      </c>
      <c r="D160" t="s">
        <v>306</v>
      </c>
      <c r="E160" s="3">
        <v>46203</v>
      </c>
      <c r="F160" t="s">
        <v>62</v>
      </c>
      <c r="G160" t="s">
        <v>63</v>
      </c>
      <c r="H160">
        <v>0</v>
      </c>
      <c r="I160" t="s">
        <v>64</v>
      </c>
      <c r="J160">
        <v>1</v>
      </c>
      <c r="K160">
        <v>2</v>
      </c>
      <c r="L160">
        <v>0</v>
      </c>
      <c r="M160" t="s">
        <v>65</v>
      </c>
      <c r="O160">
        <v>440357</v>
      </c>
      <c r="P160">
        <v>1</v>
      </c>
      <c r="Q160">
        <v>1001</v>
      </c>
      <c r="T160">
        <v>307</v>
      </c>
      <c r="V160" t="s">
        <v>66</v>
      </c>
      <c r="W160" t="s">
        <v>67</v>
      </c>
      <c r="X160" t="s">
        <v>307</v>
      </c>
      <c r="Y160">
        <v>159</v>
      </c>
      <c r="AC160" t="s">
        <v>69</v>
      </c>
      <c r="AE160" t="s">
        <v>69</v>
      </c>
      <c r="AF160" t="s">
        <v>69</v>
      </c>
      <c r="AH160" t="s">
        <v>69</v>
      </c>
      <c r="AI160" t="s">
        <v>69</v>
      </c>
      <c r="AM160">
        <v>2.19</v>
      </c>
      <c r="AN160" s="2">
        <v>9.1055251522740637</v>
      </c>
      <c r="AR160">
        <v>0.13</v>
      </c>
      <c r="AS160">
        <v>16.8</v>
      </c>
      <c r="AT160">
        <v>0.58000000000000007</v>
      </c>
      <c r="AU160">
        <v>6.67</v>
      </c>
      <c r="BB160">
        <v>25.70197611311875</v>
      </c>
      <c r="BC160" s="2">
        <v>11.7252351972745</v>
      </c>
      <c r="BD160" s="2">
        <f t="shared" si="2"/>
        <v>11.7252351972745</v>
      </c>
      <c r="BF160">
        <v>5.7</v>
      </c>
      <c r="BG160">
        <v>7.1</v>
      </c>
      <c r="BH160" s="2">
        <v>13.245473857485326</v>
      </c>
    </row>
    <row r="161" spans="1:60" x14ac:dyDescent="0.25">
      <c r="A161">
        <v>80</v>
      </c>
      <c r="B161">
        <v>-52.593569610000003</v>
      </c>
      <c r="C161">
        <v>-17.768051889999999</v>
      </c>
      <c r="D161" t="s">
        <v>306</v>
      </c>
      <c r="E161" s="3">
        <v>46203</v>
      </c>
      <c r="F161" t="s">
        <v>62</v>
      </c>
      <c r="G161" t="s">
        <v>63</v>
      </c>
      <c r="H161">
        <v>0</v>
      </c>
      <c r="I161" t="s">
        <v>64</v>
      </c>
      <c r="J161">
        <v>1</v>
      </c>
      <c r="K161">
        <v>2</v>
      </c>
      <c r="L161">
        <v>0</v>
      </c>
      <c r="M161" t="s">
        <v>65</v>
      </c>
      <c r="O161">
        <v>440357</v>
      </c>
      <c r="P161">
        <v>1</v>
      </c>
      <c r="Q161">
        <v>1001</v>
      </c>
      <c r="T161">
        <v>307</v>
      </c>
      <c r="V161" t="s">
        <v>70</v>
      </c>
      <c r="W161" t="s">
        <v>67</v>
      </c>
      <c r="X161" t="s">
        <v>308</v>
      </c>
      <c r="Y161">
        <v>160</v>
      </c>
      <c r="AC161" t="s">
        <v>69</v>
      </c>
      <c r="AF161" t="s">
        <v>69</v>
      </c>
      <c r="AH161" t="s">
        <v>69</v>
      </c>
      <c r="AI161" t="s">
        <v>69</v>
      </c>
      <c r="AM161">
        <v>2.74</v>
      </c>
      <c r="AN161" s="2">
        <v>7.1094208947840345</v>
      </c>
      <c r="AR161">
        <v>0.22999999999999998</v>
      </c>
      <c r="AS161">
        <v>15.620000000000001</v>
      </c>
      <c r="AT161">
        <v>0.8899999999999999</v>
      </c>
      <c r="AU161">
        <v>6.33</v>
      </c>
      <c r="BB161">
        <v>28.628837360632669</v>
      </c>
      <c r="BD161" s="2">
        <f t="shared" si="2"/>
        <v>18.628837360632669</v>
      </c>
      <c r="BF161">
        <v>5.4</v>
      </c>
      <c r="BG161">
        <v>6.94</v>
      </c>
      <c r="BH161" s="2">
        <v>15.677834482695374</v>
      </c>
    </row>
    <row r="162" spans="1:60" x14ac:dyDescent="0.25">
      <c r="A162">
        <v>81</v>
      </c>
      <c r="B162">
        <v>-52.593493960000004</v>
      </c>
      <c r="C162">
        <v>-17.770804250000001</v>
      </c>
      <c r="D162" t="s">
        <v>309</v>
      </c>
      <c r="E162" s="3">
        <v>46203</v>
      </c>
      <c r="F162" t="s">
        <v>62</v>
      </c>
      <c r="G162" t="s">
        <v>63</v>
      </c>
      <c r="H162">
        <v>0</v>
      </c>
      <c r="I162" t="s">
        <v>64</v>
      </c>
      <c r="J162">
        <v>1</v>
      </c>
      <c r="K162">
        <v>2</v>
      </c>
      <c r="L162">
        <v>0</v>
      </c>
      <c r="M162" t="s">
        <v>65</v>
      </c>
      <c r="O162">
        <v>440357</v>
      </c>
      <c r="P162">
        <v>1</v>
      </c>
      <c r="Q162">
        <v>1001</v>
      </c>
      <c r="T162">
        <v>308</v>
      </c>
      <c r="V162" t="s">
        <v>66</v>
      </c>
      <c r="W162" t="s">
        <v>67</v>
      </c>
      <c r="X162" t="s">
        <v>310</v>
      </c>
      <c r="Y162">
        <v>161</v>
      </c>
      <c r="AC162" t="s">
        <v>69</v>
      </c>
      <c r="AF162" t="s">
        <v>69</v>
      </c>
      <c r="AH162" t="s">
        <v>69</v>
      </c>
      <c r="AI162" t="s">
        <v>69</v>
      </c>
      <c r="AM162">
        <v>3.02</v>
      </c>
      <c r="AN162" s="2">
        <v>-4.3286027888567565E-2</v>
      </c>
      <c r="AR162">
        <v>0.38</v>
      </c>
      <c r="AS162">
        <v>15.26</v>
      </c>
      <c r="AT162">
        <v>0.82000000000000006</v>
      </c>
      <c r="AU162">
        <v>6.07</v>
      </c>
      <c r="BB162">
        <v>22.653510850897671</v>
      </c>
      <c r="BD162" s="2">
        <f t="shared" si="2"/>
        <v>12.653510850897671</v>
      </c>
      <c r="BF162">
        <v>5.14</v>
      </c>
      <c r="BG162">
        <v>6.8</v>
      </c>
      <c r="BH162" s="2">
        <v>18.169891271146678</v>
      </c>
    </row>
    <row r="163" spans="1:60" x14ac:dyDescent="0.25">
      <c r="A163">
        <v>81</v>
      </c>
      <c r="B163">
        <v>-52.593493960000004</v>
      </c>
      <c r="C163">
        <v>-17.770804250000001</v>
      </c>
      <c r="D163" t="s">
        <v>309</v>
      </c>
      <c r="E163" s="3">
        <v>46203</v>
      </c>
      <c r="F163" t="s">
        <v>62</v>
      </c>
      <c r="G163" t="s">
        <v>63</v>
      </c>
      <c r="H163">
        <v>0</v>
      </c>
      <c r="I163" t="s">
        <v>64</v>
      </c>
      <c r="J163">
        <v>1</v>
      </c>
      <c r="K163">
        <v>2</v>
      </c>
      <c r="L163">
        <v>0</v>
      </c>
      <c r="M163" t="s">
        <v>65</v>
      </c>
      <c r="O163">
        <v>440357</v>
      </c>
      <c r="P163">
        <v>1</v>
      </c>
      <c r="Q163">
        <v>1001</v>
      </c>
      <c r="T163">
        <v>308</v>
      </c>
      <c r="V163" t="s">
        <v>70</v>
      </c>
      <c r="W163" t="s">
        <v>67</v>
      </c>
      <c r="X163" t="s">
        <v>311</v>
      </c>
      <c r="Y163">
        <v>162</v>
      </c>
      <c r="AC163" t="s">
        <v>69</v>
      </c>
      <c r="AF163" t="s">
        <v>69</v>
      </c>
      <c r="AH163" t="s">
        <v>69</v>
      </c>
      <c r="AI163" t="s">
        <v>69</v>
      </c>
      <c r="AM163">
        <v>3.7</v>
      </c>
      <c r="AN163" s="2">
        <v>-1.8730482639210939</v>
      </c>
      <c r="AR163">
        <v>1.9700000000000002</v>
      </c>
      <c r="AS163">
        <v>13.23</v>
      </c>
      <c r="AT163">
        <v>0.84999999999999987</v>
      </c>
      <c r="AU163">
        <v>5.21</v>
      </c>
      <c r="BB163">
        <v>25.103805355257979</v>
      </c>
      <c r="BD163" s="2">
        <f t="shared" si="2"/>
        <v>15.103805355257979</v>
      </c>
      <c r="BF163">
        <v>4.83</v>
      </c>
      <c r="BG163">
        <v>6.64</v>
      </c>
      <c r="BH163" s="2">
        <v>21.506557710400507</v>
      </c>
    </row>
    <row r="164" spans="1:60" x14ac:dyDescent="0.25">
      <c r="A164">
        <v>82</v>
      </c>
      <c r="B164">
        <v>-52.599686409999997</v>
      </c>
      <c r="C164">
        <v>-17.768142350000002</v>
      </c>
      <c r="D164" t="s">
        <v>312</v>
      </c>
      <c r="E164" s="3">
        <v>46203</v>
      </c>
      <c r="F164" t="s">
        <v>62</v>
      </c>
      <c r="G164" t="s">
        <v>63</v>
      </c>
      <c r="H164">
        <v>0</v>
      </c>
      <c r="I164" t="s">
        <v>64</v>
      </c>
      <c r="J164">
        <v>1</v>
      </c>
      <c r="K164">
        <v>2</v>
      </c>
      <c r="L164">
        <v>0</v>
      </c>
      <c r="M164" t="s">
        <v>65</v>
      </c>
      <c r="O164">
        <v>440357</v>
      </c>
      <c r="P164">
        <v>1</v>
      </c>
      <c r="Q164">
        <v>1001</v>
      </c>
      <c r="T164">
        <v>309</v>
      </c>
      <c r="V164" t="s">
        <v>66</v>
      </c>
      <c r="W164" t="s">
        <v>67</v>
      </c>
      <c r="X164" t="s">
        <v>313</v>
      </c>
      <c r="Y164">
        <v>163</v>
      </c>
      <c r="AC164" t="s">
        <v>69</v>
      </c>
      <c r="AE164" t="s">
        <v>69</v>
      </c>
      <c r="AF164" t="s">
        <v>69</v>
      </c>
      <c r="AH164" t="s">
        <v>69</v>
      </c>
      <c r="AI164" t="s">
        <v>69</v>
      </c>
      <c r="AM164">
        <v>1.830000000000001</v>
      </c>
      <c r="AN164" s="2">
        <v>-5.1998886930711414</v>
      </c>
      <c r="AR164">
        <v>0.62</v>
      </c>
      <c r="AS164">
        <v>6.669999999999999</v>
      </c>
      <c r="AT164">
        <v>0.37</v>
      </c>
      <c r="AU164">
        <v>4.74</v>
      </c>
      <c r="BB164">
        <v>23.549921454305231</v>
      </c>
      <c r="BC164" s="2">
        <v>11.363120656669199</v>
      </c>
      <c r="BD164" s="2">
        <f t="shared" si="2"/>
        <v>11.363120656669199</v>
      </c>
      <c r="BF164">
        <v>4.79</v>
      </c>
      <c r="BG164">
        <v>6.7</v>
      </c>
      <c r="BH164" s="2">
        <v>20.188959557144408</v>
      </c>
    </row>
    <row r="165" spans="1:60" x14ac:dyDescent="0.25">
      <c r="A165">
        <v>82</v>
      </c>
      <c r="B165">
        <v>-52.599686409999997</v>
      </c>
      <c r="C165">
        <v>-17.768142350000002</v>
      </c>
      <c r="D165" t="s">
        <v>312</v>
      </c>
      <c r="E165" s="3">
        <v>46203</v>
      </c>
      <c r="F165" t="s">
        <v>62</v>
      </c>
      <c r="G165" t="s">
        <v>63</v>
      </c>
      <c r="H165">
        <v>0</v>
      </c>
      <c r="I165" t="s">
        <v>64</v>
      </c>
      <c r="J165">
        <v>1</v>
      </c>
      <c r="K165">
        <v>2</v>
      </c>
      <c r="L165">
        <v>0</v>
      </c>
      <c r="M165" t="s">
        <v>65</v>
      </c>
      <c r="O165">
        <v>440357</v>
      </c>
      <c r="P165">
        <v>1</v>
      </c>
      <c r="Q165">
        <v>1001</v>
      </c>
      <c r="T165">
        <v>309</v>
      </c>
      <c r="V165" t="s">
        <v>70</v>
      </c>
      <c r="W165" t="s">
        <v>67</v>
      </c>
      <c r="X165" t="s">
        <v>314</v>
      </c>
      <c r="Y165">
        <v>164</v>
      </c>
      <c r="AC165" t="s">
        <v>69</v>
      </c>
      <c r="AF165" t="s">
        <v>69</v>
      </c>
      <c r="AH165" t="s">
        <v>69</v>
      </c>
      <c r="AI165" t="s">
        <v>69</v>
      </c>
      <c r="AM165">
        <v>2.06</v>
      </c>
      <c r="AN165" s="2">
        <v>-5.3662307145286432</v>
      </c>
      <c r="AR165">
        <v>1.75</v>
      </c>
      <c r="AS165">
        <v>3.76</v>
      </c>
      <c r="AT165">
        <v>0.38</v>
      </c>
      <c r="AU165">
        <v>3.1</v>
      </c>
      <c r="BB165">
        <v>23.0175118327588</v>
      </c>
      <c r="BD165" s="2">
        <f t="shared" si="2"/>
        <v>13.0175118327588</v>
      </c>
      <c r="BF165">
        <v>4.45</v>
      </c>
      <c r="BG165">
        <v>6.5</v>
      </c>
      <c r="BH165" s="2">
        <v>24.925114220713191</v>
      </c>
    </row>
    <row r="166" spans="1:60" x14ac:dyDescent="0.25">
      <c r="A166">
        <v>83</v>
      </c>
      <c r="B166">
        <v>-52.607109010000002</v>
      </c>
      <c r="C166">
        <v>-17.771830690000002</v>
      </c>
      <c r="D166" t="s">
        <v>315</v>
      </c>
      <c r="E166" s="3">
        <v>46203</v>
      </c>
      <c r="F166" t="s">
        <v>62</v>
      </c>
      <c r="G166" t="s">
        <v>63</v>
      </c>
      <c r="H166">
        <v>0</v>
      </c>
      <c r="I166" t="s">
        <v>64</v>
      </c>
      <c r="J166">
        <v>1</v>
      </c>
      <c r="K166">
        <v>2</v>
      </c>
      <c r="L166">
        <v>0</v>
      </c>
      <c r="M166" t="s">
        <v>65</v>
      </c>
      <c r="O166">
        <v>440357</v>
      </c>
      <c r="P166">
        <v>1</v>
      </c>
      <c r="Q166">
        <v>1001</v>
      </c>
      <c r="T166">
        <v>310</v>
      </c>
      <c r="V166" t="s">
        <v>66</v>
      </c>
      <c r="W166" t="s">
        <v>67</v>
      </c>
      <c r="X166" t="s">
        <v>316</v>
      </c>
      <c r="Y166">
        <v>165</v>
      </c>
      <c r="AC166" t="s">
        <v>69</v>
      </c>
      <c r="AF166" t="s">
        <v>69</v>
      </c>
      <c r="AH166" t="s">
        <v>69</v>
      </c>
      <c r="AI166" t="s">
        <v>69</v>
      </c>
      <c r="AM166">
        <v>3.57</v>
      </c>
      <c r="AN166" s="2">
        <v>-2.7047583712086052</v>
      </c>
      <c r="AR166">
        <v>0.38</v>
      </c>
      <c r="AS166">
        <v>11.44</v>
      </c>
      <c r="AT166">
        <v>1.8599999999999999</v>
      </c>
      <c r="AU166">
        <v>6.7899999999999991</v>
      </c>
      <c r="BB166">
        <v>36.817472274452257</v>
      </c>
      <c r="BD166" s="2">
        <f t="shared" si="2"/>
        <v>26.817472274452257</v>
      </c>
      <c r="BF166">
        <v>5.05</v>
      </c>
      <c r="BG166">
        <v>6.4</v>
      </c>
      <c r="BH166" s="2">
        <v>27.694834022384661</v>
      </c>
    </row>
    <row r="167" spans="1:60" x14ac:dyDescent="0.25">
      <c r="A167">
        <v>83</v>
      </c>
      <c r="B167">
        <v>-52.607109010000002</v>
      </c>
      <c r="C167">
        <v>-17.771830690000002</v>
      </c>
      <c r="D167" t="s">
        <v>315</v>
      </c>
      <c r="E167" s="3">
        <v>46203</v>
      </c>
      <c r="F167" t="s">
        <v>62</v>
      </c>
      <c r="G167" t="s">
        <v>63</v>
      </c>
      <c r="H167">
        <v>0</v>
      </c>
      <c r="I167" t="s">
        <v>64</v>
      </c>
      <c r="J167">
        <v>1</v>
      </c>
      <c r="K167">
        <v>2</v>
      </c>
      <c r="L167">
        <v>0</v>
      </c>
      <c r="M167" t="s">
        <v>65</v>
      </c>
      <c r="O167">
        <v>440357</v>
      </c>
      <c r="P167">
        <v>1</v>
      </c>
      <c r="Q167">
        <v>1001</v>
      </c>
      <c r="T167">
        <v>310</v>
      </c>
      <c r="V167" t="s">
        <v>70</v>
      </c>
      <c r="W167" t="s">
        <v>67</v>
      </c>
      <c r="X167" t="s">
        <v>317</v>
      </c>
      <c r="Y167">
        <v>166</v>
      </c>
      <c r="AC167" t="s">
        <v>69</v>
      </c>
      <c r="AF167" t="s">
        <v>69</v>
      </c>
      <c r="AH167" t="s">
        <v>69</v>
      </c>
      <c r="AI167" t="s">
        <v>69</v>
      </c>
      <c r="AM167">
        <v>2.75</v>
      </c>
      <c r="AN167" s="2">
        <v>-4.2018365643261273</v>
      </c>
      <c r="AR167">
        <v>0.49</v>
      </c>
      <c r="AS167">
        <v>10.209999999999999</v>
      </c>
      <c r="AT167">
        <v>2.31</v>
      </c>
      <c r="AU167">
        <v>6.66</v>
      </c>
      <c r="BB167">
        <v>31.278980214947889</v>
      </c>
      <c r="BD167" s="2">
        <f t="shared" si="2"/>
        <v>21.278980214947889</v>
      </c>
      <c r="BF167">
        <v>4.96</v>
      </c>
      <c r="BG167">
        <v>6.53</v>
      </c>
      <c r="BH167" s="2">
        <v>24.149529521891953</v>
      </c>
    </row>
    <row r="168" spans="1:60" x14ac:dyDescent="0.25">
      <c r="A168">
        <v>84</v>
      </c>
      <c r="B168">
        <v>-52.60430719</v>
      </c>
      <c r="C168">
        <v>-17.77464002</v>
      </c>
      <c r="D168" t="s">
        <v>318</v>
      </c>
      <c r="E168" s="3">
        <v>46203</v>
      </c>
      <c r="F168" t="s">
        <v>62</v>
      </c>
      <c r="G168" t="s">
        <v>63</v>
      </c>
      <c r="H168">
        <v>0</v>
      </c>
      <c r="I168" t="s">
        <v>64</v>
      </c>
      <c r="J168">
        <v>1</v>
      </c>
      <c r="K168">
        <v>2</v>
      </c>
      <c r="L168">
        <v>0</v>
      </c>
      <c r="M168" t="s">
        <v>65</v>
      </c>
      <c r="O168">
        <v>440357</v>
      </c>
      <c r="P168">
        <v>1</v>
      </c>
      <c r="Q168">
        <v>1001</v>
      </c>
      <c r="T168">
        <v>311</v>
      </c>
      <c r="V168" t="s">
        <v>66</v>
      </c>
      <c r="W168" t="s">
        <v>67</v>
      </c>
      <c r="X168" t="s">
        <v>319</v>
      </c>
      <c r="Y168">
        <v>167</v>
      </c>
      <c r="AC168" t="s">
        <v>69</v>
      </c>
      <c r="AE168" t="s">
        <v>69</v>
      </c>
      <c r="AF168" t="s">
        <v>69</v>
      </c>
      <c r="AH168" t="s">
        <v>69</v>
      </c>
      <c r="AI168" t="s">
        <v>69</v>
      </c>
      <c r="AM168">
        <v>5.59</v>
      </c>
      <c r="AN168" s="2">
        <v>-5.0335466716136388</v>
      </c>
      <c r="AR168">
        <v>0.69000000000000006</v>
      </c>
      <c r="AS168">
        <v>7.67</v>
      </c>
      <c r="AT168">
        <v>1.22</v>
      </c>
      <c r="AU168">
        <v>5.42</v>
      </c>
      <c r="BB168">
        <v>32.10031126592574</v>
      </c>
      <c r="BC168" s="2">
        <v>10.457834305156201</v>
      </c>
      <c r="BD168" s="2">
        <f t="shared" si="2"/>
        <v>10.457834305156201</v>
      </c>
      <c r="BF168">
        <v>5.12</v>
      </c>
      <c r="BG168">
        <v>6.81</v>
      </c>
      <c r="BH168" s="2">
        <v>17.979440279988168</v>
      </c>
    </row>
    <row r="169" spans="1:60" x14ac:dyDescent="0.25">
      <c r="A169">
        <v>84</v>
      </c>
      <c r="B169">
        <v>-52.60430719</v>
      </c>
      <c r="C169">
        <v>-17.77464002</v>
      </c>
      <c r="D169" t="s">
        <v>318</v>
      </c>
      <c r="E169" s="3">
        <v>46203</v>
      </c>
      <c r="F169" t="s">
        <v>62</v>
      </c>
      <c r="G169" t="s">
        <v>63</v>
      </c>
      <c r="H169">
        <v>0</v>
      </c>
      <c r="I169" t="s">
        <v>64</v>
      </c>
      <c r="J169">
        <v>1</v>
      </c>
      <c r="K169">
        <v>2</v>
      </c>
      <c r="L169">
        <v>0</v>
      </c>
      <c r="M169" t="s">
        <v>65</v>
      </c>
      <c r="O169">
        <v>440357</v>
      </c>
      <c r="P169">
        <v>1</v>
      </c>
      <c r="Q169">
        <v>1001</v>
      </c>
      <c r="T169">
        <v>311</v>
      </c>
      <c r="V169" t="s">
        <v>70</v>
      </c>
      <c r="W169" t="s">
        <v>67</v>
      </c>
      <c r="X169" t="s">
        <v>320</v>
      </c>
      <c r="Y169">
        <v>168</v>
      </c>
      <c r="AC169" t="s">
        <v>69</v>
      </c>
      <c r="AF169" t="s">
        <v>69</v>
      </c>
      <c r="AH169" t="s">
        <v>69</v>
      </c>
      <c r="AI169" t="s">
        <v>69</v>
      </c>
      <c r="AM169">
        <v>2.2400000000000002</v>
      </c>
      <c r="AN169" s="2">
        <v>-4.7008626286986344</v>
      </c>
      <c r="AR169">
        <v>0.5</v>
      </c>
      <c r="AS169">
        <v>6.18</v>
      </c>
      <c r="AT169">
        <v>0.97</v>
      </c>
      <c r="AU169">
        <v>4.8599999999999994</v>
      </c>
      <c r="BB169">
        <v>27.15994802509681</v>
      </c>
      <c r="BD169" s="2">
        <f t="shared" si="2"/>
        <v>17.15994802509681</v>
      </c>
      <c r="BF169">
        <v>4.93</v>
      </c>
      <c r="BG169">
        <v>6.74</v>
      </c>
      <c r="BH169" s="2">
        <v>19.355718362233922</v>
      </c>
    </row>
    <row r="170" spans="1:60" x14ac:dyDescent="0.25">
      <c r="A170">
        <v>85</v>
      </c>
      <c r="B170">
        <v>-52.604119830000002</v>
      </c>
      <c r="C170">
        <v>-17.770832070000001</v>
      </c>
      <c r="D170" t="s">
        <v>321</v>
      </c>
      <c r="E170" s="3">
        <v>46203</v>
      </c>
      <c r="F170" t="s">
        <v>62</v>
      </c>
      <c r="G170" t="s">
        <v>63</v>
      </c>
      <c r="H170">
        <v>0</v>
      </c>
      <c r="I170" t="s">
        <v>64</v>
      </c>
      <c r="J170">
        <v>1</v>
      </c>
      <c r="K170">
        <v>2</v>
      </c>
      <c r="L170">
        <v>0</v>
      </c>
      <c r="M170" t="s">
        <v>65</v>
      </c>
      <c r="O170">
        <v>440357</v>
      </c>
      <c r="P170">
        <v>1</v>
      </c>
      <c r="Q170">
        <v>1001</v>
      </c>
      <c r="T170">
        <v>312</v>
      </c>
      <c r="V170" t="s">
        <v>66</v>
      </c>
      <c r="W170" t="s">
        <v>67</v>
      </c>
      <c r="X170" t="s">
        <v>322</v>
      </c>
      <c r="Y170">
        <v>169</v>
      </c>
      <c r="AC170" t="s">
        <v>69</v>
      </c>
      <c r="AF170" t="s">
        <v>69</v>
      </c>
      <c r="AH170" t="s">
        <v>69</v>
      </c>
      <c r="AI170" t="s">
        <v>69</v>
      </c>
      <c r="AM170">
        <v>2.34</v>
      </c>
      <c r="AN170" s="2">
        <v>-3.3701264570386154</v>
      </c>
      <c r="AR170">
        <v>0.61</v>
      </c>
      <c r="AS170">
        <v>3.85</v>
      </c>
      <c r="AT170">
        <v>0.6</v>
      </c>
      <c r="AU170">
        <v>2.27</v>
      </c>
      <c r="BB170">
        <v>24.459684090970558</v>
      </c>
      <c r="BD170" s="2">
        <f t="shared" si="2"/>
        <v>14.459684090970558</v>
      </c>
      <c r="BF170">
        <v>4.67</v>
      </c>
      <c r="BG170">
        <v>6.86</v>
      </c>
      <c r="BH170" s="2">
        <v>17.056713815874541</v>
      </c>
    </row>
    <row r="171" spans="1:60" x14ac:dyDescent="0.25">
      <c r="A171">
        <v>85</v>
      </c>
      <c r="B171">
        <v>-52.604119830000002</v>
      </c>
      <c r="C171">
        <v>-17.770832070000001</v>
      </c>
      <c r="D171" t="s">
        <v>321</v>
      </c>
      <c r="E171" s="3">
        <v>46203</v>
      </c>
      <c r="F171" t="s">
        <v>62</v>
      </c>
      <c r="G171" t="s">
        <v>63</v>
      </c>
      <c r="H171">
        <v>0</v>
      </c>
      <c r="I171" t="s">
        <v>64</v>
      </c>
      <c r="J171">
        <v>1</v>
      </c>
      <c r="K171">
        <v>2</v>
      </c>
      <c r="L171">
        <v>0</v>
      </c>
      <c r="M171" t="s">
        <v>65</v>
      </c>
      <c r="O171">
        <v>440357</v>
      </c>
      <c r="P171">
        <v>1</v>
      </c>
      <c r="Q171">
        <v>1001</v>
      </c>
      <c r="T171">
        <v>312</v>
      </c>
      <c r="V171" t="s">
        <v>70</v>
      </c>
      <c r="W171" t="s">
        <v>67</v>
      </c>
      <c r="X171" t="s">
        <v>323</v>
      </c>
      <c r="Y171">
        <v>170</v>
      </c>
      <c r="AC171" t="s">
        <v>69</v>
      </c>
      <c r="AF171" t="s">
        <v>69</v>
      </c>
      <c r="AH171" t="s">
        <v>69</v>
      </c>
      <c r="AI171" t="s">
        <v>69</v>
      </c>
      <c r="AM171">
        <v>3.23</v>
      </c>
      <c r="AN171" s="2">
        <v>-5.3662307145286432</v>
      </c>
      <c r="AR171">
        <v>1.58</v>
      </c>
      <c r="AS171">
        <v>1.49</v>
      </c>
      <c r="AT171">
        <v>0.57000000000000006</v>
      </c>
      <c r="AU171">
        <v>1.1200000000000001</v>
      </c>
      <c r="BB171">
        <v>21.079094472271539</v>
      </c>
      <c r="BD171" s="2">
        <f t="shared" si="2"/>
        <v>11.079094472271539</v>
      </c>
      <c r="BF171">
        <v>4.29</v>
      </c>
      <c r="BG171">
        <v>6.83</v>
      </c>
      <c r="BH171" s="2">
        <v>17.604506112853763</v>
      </c>
    </row>
  </sheetData>
  <autoFilter ref="A1:BK17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DEB8-B04C-434D-B958-18F9230C9065}">
  <dimension ref="A1:C11"/>
  <sheetViews>
    <sheetView tabSelected="1" workbookViewId="0">
      <selection activeCell="B7" sqref="B7"/>
    </sheetView>
  </sheetViews>
  <sheetFormatPr defaultColWidth="71.85546875" defaultRowHeight="15" x14ac:dyDescent="0.25"/>
  <sheetData>
    <row r="1" spans="1:3" ht="16.5" thickBot="1" x14ac:dyDescent="0.3">
      <c r="A1" s="4" t="s">
        <v>326</v>
      </c>
      <c r="B1" s="5" t="s">
        <v>15</v>
      </c>
      <c r="C1" s="6" t="s">
        <v>327</v>
      </c>
    </row>
    <row r="2" spans="1:3" ht="31.5" x14ac:dyDescent="0.25">
      <c r="A2" s="7" t="s">
        <v>328</v>
      </c>
      <c r="B2" s="8" t="s">
        <v>329</v>
      </c>
      <c r="C2" s="9" t="s">
        <v>330</v>
      </c>
    </row>
    <row r="3" spans="1:3" ht="31.5" x14ac:dyDescent="0.25">
      <c r="A3" s="10" t="s">
        <v>331</v>
      </c>
      <c r="B3" s="11" t="s">
        <v>329</v>
      </c>
      <c r="C3" s="12" t="s">
        <v>332</v>
      </c>
    </row>
    <row r="4" spans="1:3" ht="31.5" x14ac:dyDescent="0.25">
      <c r="A4" s="13" t="s">
        <v>333</v>
      </c>
      <c r="B4" s="11" t="s">
        <v>329</v>
      </c>
      <c r="C4" s="12" t="s">
        <v>332</v>
      </c>
    </row>
    <row r="5" spans="1:3" ht="31.5" x14ac:dyDescent="0.25">
      <c r="A5" s="10" t="s">
        <v>334</v>
      </c>
      <c r="B5" s="11" t="s">
        <v>329</v>
      </c>
      <c r="C5" s="12" t="s">
        <v>332</v>
      </c>
    </row>
    <row r="6" spans="1:3" ht="34.5" x14ac:dyDescent="0.25">
      <c r="A6" s="10" t="s">
        <v>335</v>
      </c>
      <c r="B6" s="11" t="s">
        <v>329</v>
      </c>
      <c r="C6" s="12" t="s">
        <v>332</v>
      </c>
    </row>
    <row r="7" spans="1:3" ht="31.5" x14ac:dyDescent="0.25">
      <c r="A7" s="10" t="s">
        <v>336</v>
      </c>
      <c r="B7" s="11" t="s">
        <v>329</v>
      </c>
      <c r="C7" s="12" t="s">
        <v>332</v>
      </c>
    </row>
    <row r="8" spans="1:3" ht="31.5" x14ac:dyDescent="0.25">
      <c r="A8" s="10" t="s">
        <v>337</v>
      </c>
      <c r="B8" s="11" t="s">
        <v>329</v>
      </c>
      <c r="C8" s="12" t="s">
        <v>332</v>
      </c>
    </row>
    <row r="9" spans="1:3" ht="31.5" x14ac:dyDescent="0.25">
      <c r="A9" s="10" t="s">
        <v>338</v>
      </c>
      <c r="B9" s="11" t="s">
        <v>329</v>
      </c>
      <c r="C9" s="12" t="s">
        <v>332</v>
      </c>
    </row>
    <row r="10" spans="1:3" ht="31.5" x14ac:dyDescent="0.25">
      <c r="A10" s="14" t="s">
        <v>339</v>
      </c>
      <c r="B10" s="11" t="s">
        <v>329</v>
      </c>
      <c r="C10" s="12" t="s">
        <v>332</v>
      </c>
    </row>
    <row r="11" spans="1:3" ht="15.75" x14ac:dyDescent="0.25">
      <c r="A11" s="14" t="s">
        <v>340</v>
      </c>
      <c r="B11" s="11" t="s">
        <v>341</v>
      </c>
      <c r="C11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01) Química - Básica</vt:lpstr>
      <vt:lpstr>02) Referências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Ícaro Ramiro</cp:lastModifiedBy>
  <cp:revision>1</cp:revision>
  <dcterms:created xsi:type="dcterms:W3CDTF">2026-06-23T13:05:21Z</dcterms:created>
  <dcterms:modified xsi:type="dcterms:W3CDTF">2026-06-30T20:30:31Z</dcterms:modified>
  <dc:language>pt-BR</dc:language>
</cp:coreProperties>
</file>